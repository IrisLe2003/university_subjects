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codeName="ThisWorkbook" defaultThemeVersion="166925"/>
  <mc:AlternateContent xmlns:mc="http://schemas.openxmlformats.org/markup-compatibility/2006">
    <mc:Choice Requires="x15">
      <x15ac:absPath xmlns:x15ac="http://schemas.microsoft.com/office/spreadsheetml/2010/11/ac" url="D:\Project\BookReader\"/>
    </mc:Choice>
  </mc:AlternateContent>
  <xr:revisionPtr revIDLastSave="0" documentId="8_{B190A481-DFCB-40FB-9B2C-2651C2F81ED5}" xr6:coauthVersionLast="47" xr6:coauthVersionMax="47" xr10:uidLastSave="{00000000-0000-0000-0000-000000000000}"/>
  <bookViews>
    <workbookView xWindow="-108" yWindow="-108" windowWidth="23256" windowHeight="12456" xr2:uid="{00000000-000D-0000-FFFF-FFFF00000000}"/>
  </bookViews>
  <sheets>
    <sheet name="Cover" sheetId="1" r:id="rId1"/>
    <sheet name="Tính năng" sheetId="2" r:id="rId2"/>
    <sheet name="Đăng nhập" sheetId="4" r:id="rId3"/>
    <sheet name="Đăng ký" sheetId="5" r:id="rId4"/>
    <sheet name="Thay đổi thông tin người dùng" sheetId="7" r:id="rId5"/>
    <sheet name="Quản lý từ điển" sheetId="9" r:id="rId6"/>
    <sheet name="Quản lý mục tiêu " sheetId="12" r:id="rId7"/>
    <sheet name="Quản lý thư viện" sheetId="10" r:id="rId8"/>
    <sheet name="Tìm kiếm sách" sheetId="8"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 i="12" l="1"/>
  <c r="B22" i="12"/>
  <c r="B23" i="12"/>
  <c r="B24" i="12"/>
  <c r="B25" i="12"/>
  <c r="B26" i="12"/>
  <c r="B27" i="12"/>
  <c r="B28" i="12"/>
  <c r="B29" i="12"/>
  <c r="B30" i="12"/>
  <c r="B31" i="12"/>
  <c r="B32" i="12"/>
  <c r="B33" i="12"/>
  <c r="B34" i="12"/>
  <c r="B35" i="12"/>
  <c r="B36" i="12"/>
  <c r="B37" i="12"/>
  <c r="B38" i="12"/>
  <c r="B20" i="12"/>
  <c r="B20" i="10"/>
  <c r="B21" i="8"/>
  <c r="B21" i="10"/>
  <c r="B22" i="10"/>
  <c r="B23" i="10"/>
  <c r="B24" i="10"/>
  <c r="B25" i="10"/>
  <c r="B26" i="10"/>
  <c r="B27" i="10"/>
  <c r="B28" i="10"/>
  <c r="B21" i="4"/>
  <c r="B19" i="12"/>
  <c r="D14" i="12"/>
  <c r="F13" i="12"/>
  <c r="E13" i="12"/>
  <c r="D13" i="12"/>
  <c r="F12" i="12"/>
  <c r="E12" i="12"/>
  <c r="D12" i="12"/>
  <c r="F11" i="12"/>
  <c r="E11" i="12"/>
  <c r="D11" i="12"/>
  <c r="F10" i="12"/>
  <c r="E10" i="12"/>
  <c r="D10" i="12"/>
  <c r="F9" i="12"/>
  <c r="E9" i="12"/>
  <c r="D9" i="12"/>
  <c r="B45" i="5"/>
  <c r="B46" i="5"/>
  <c r="B47" i="5"/>
  <c r="B21" i="9"/>
  <c r="B33" i="7"/>
  <c r="B22" i="7"/>
  <c r="B23" i="7"/>
  <c r="B24" i="7"/>
  <c r="B25" i="7"/>
  <c r="B26" i="7"/>
  <c r="B27" i="7"/>
  <c r="B28" i="7"/>
  <c r="B29" i="7"/>
  <c r="B30" i="7"/>
  <c r="B31" i="7"/>
  <c r="B32" i="7"/>
  <c r="B34" i="7"/>
  <c r="B35" i="7"/>
  <c r="B21" i="7"/>
  <c r="B21" i="5"/>
  <c r="B26" i="9"/>
  <c r="B27" i="9"/>
  <c r="B23" i="9"/>
  <c r="B25" i="9"/>
  <c r="B22" i="9"/>
  <c r="B28" i="8"/>
  <c r="B27" i="8"/>
  <c r="D11" i="4"/>
  <c r="B22" i="8"/>
  <c r="B23" i="8"/>
  <c r="B24" i="8"/>
  <c r="B25" i="8"/>
  <c r="B26" i="8"/>
  <c r="B50" i="5"/>
  <c r="B53" i="5"/>
  <c r="B54" i="5"/>
  <c r="B52" i="5"/>
  <c r="D9" i="10"/>
  <c r="E9" i="10"/>
  <c r="F9" i="10"/>
  <c r="D10" i="10"/>
  <c r="E10" i="10"/>
  <c r="F10" i="10"/>
  <c r="D11" i="10"/>
  <c r="E11" i="10"/>
  <c r="F11" i="10"/>
  <c r="D12" i="10"/>
  <c r="E12" i="10"/>
  <c r="F12" i="10"/>
  <c r="D13" i="10"/>
  <c r="E13" i="10"/>
  <c r="F13" i="10"/>
  <c r="D14" i="10"/>
  <c r="B19" i="10"/>
  <c r="D9" i="9"/>
  <c r="E9" i="9"/>
  <c r="F9" i="9"/>
  <c r="D10" i="9"/>
  <c r="E10" i="9"/>
  <c r="F10" i="9"/>
  <c r="D11" i="9"/>
  <c r="E11" i="9"/>
  <c r="F11" i="9"/>
  <c r="D12" i="9"/>
  <c r="E12" i="9"/>
  <c r="F12" i="9"/>
  <c r="D13" i="9"/>
  <c r="E13" i="9"/>
  <c r="F13" i="9"/>
  <c r="D14" i="9"/>
  <c r="B20" i="9"/>
  <c r="B20" i="8"/>
  <c r="D14" i="8"/>
  <c r="F13" i="8"/>
  <c r="E13" i="8"/>
  <c r="D13" i="8"/>
  <c r="F12" i="8"/>
  <c r="E12" i="8"/>
  <c r="D12" i="8"/>
  <c r="F11" i="8"/>
  <c r="E11" i="8"/>
  <c r="D11" i="8"/>
  <c r="F10" i="8"/>
  <c r="E10" i="8"/>
  <c r="D10" i="8"/>
  <c r="F9" i="8"/>
  <c r="E9" i="8"/>
  <c r="D9" i="8"/>
  <c r="B20" i="7"/>
  <c r="D14" i="7"/>
  <c r="F13" i="7"/>
  <c r="E13" i="7"/>
  <c r="D13" i="7"/>
  <c r="F12" i="7"/>
  <c r="E12" i="7"/>
  <c r="D12" i="7"/>
  <c r="F11" i="7"/>
  <c r="E11" i="7"/>
  <c r="D11" i="7"/>
  <c r="F10" i="7"/>
  <c r="E10" i="7"/>
  <c r="D10" i="7"/>
  <c r="F9" i="7"/>
  <c r="E9" i="7"/>
  <c r="D9" i="7"/>
  <c r="B48" i="5"/>
  <c r="B49" i="5"/>
  <c r="B43" i="5"/>
  <c r="B44" i="5"/>
  <c r="B42" i="5"/>
  <c r="B27" i="5"/>
  <c r="B26" i="5"/>
  <c r="B25" i="5"/>
  <c r="B31" i="5"/>
  <c r="B32" i="5"/>
  <c r="B33" i="5"/>
  <c r="B34" i="5"/>
  <c r="B35" i="5"/>
  <c r="B36" i="5"/>
  <c r="B37" i="5"/>
  <c r="B38" i="5"/>
  <c r="B39" i="5"/>
  <c r="B40" i="5"/>
  <c r="B30" i="5"/>
  <c r="B29" i="5"/>
  <c r="B28" i="5"/>
  <c r="B41" i="5"/>
  <c r="B51" i="5"/>
  <c r="B24" i="5"/>
  <c r="B23" i="5"/>
  <c r="B22" i="5"/>
  <c r="D14" i="5"/>
  <c r="F13" i="5"/>
  <c r="E13" i="5"/>
  <c r="D13" i="5"/>
  <c r="F12" i="5"/>
  <c r="E12" i="5"/>
  <c r="D12" i="5"/>
  <c r="F11" i="5"/>
  <c r="E11" i="5"/>
  <c r="F10" i="5"/>
  <c r="E10" i="5"/>
  <c r="D10" i="5"/>
  <c r="F9" i="5"/>
  <c r="E9" i="5"/>
  <c r="D9" i="5"/>
  <c r="B43" i="4"/>
  <c r="B44" i="4"/>
  <c r="B24" i="4"/>
  <c r="B25" i="4"/>
  <c r="B26" i="4"/>
  <c r="B55" i="4"/>
  <c r="B56" i="4"/>
  <c r="B57" i="4"/>
  <c r="B58" i="4"/>
  <c r="B59" i="4"/>
  <c r="B60" i="4"/>
  <c r="B61" i="4"/>
  <c r="B49" i="4"/>
  <c r="B48" i="4"/>
  <c r="B47" i="4"/>
  <c r="B46" i="4"/>
  <c r="B42" i="4"/>
  <c r="B41" i="4"/>
  <c r="B30" i="4"/>
  <c r="B31" i="4"/>
  <c r="B32" i="4"/>
  <c r="B29" i="4"/>
  <c r="B27" i="4"/>
  <c r="F13" i="4"/>
  <c r="E13" i="4"/>
  <c r="D13" i="4"/>
  <c r="F12" i="4"/>
  <c r="E12" i="4"/>
  <c r="D12" i="4"/>
  <c r="F11" i="4"/>
  <c r="E11" i="4"/>
  <c r="F10" i="4"/>
  <c r="E10" i="4"/>
  <c r="D10" i="4"/>
  <c r="F9" i="4"/>
  <c r="E9" i="4"/>
  <c r="D9" i="4"/>
  <c r="B53" i="4"/>
  <c r="B54" i="4"/>
  <c r="B51" i="4"/>
  <c r="B52" i="4"/>
  <c r="B37" i="4"/>
  <c r="B38" i="4"/>
  <c r="B36" i="4"/>
  <c r="B22" i="4"/>
  <c r="B23" i="4"/>
  <c r="B33" i="4"/>
  <c r="B35" i="4"/>
  <c r="B39" i="4"/>
  <c r="B28" i="4"/>
  <c r="D14" i="4"/>
</calcChain>
</file>

<file path=xl/sharedStrings.xml><?xml version="1.0" encoding="utf-8"?>
<sst xmlns="http://schemas.openxmlformats.org/spreadsheetml/2006/main" count="1216" uniqueCount="462">
  <si>
    <t>TEST CASE - v1.0</t>
  </si>
  <si>
    <t>Tên dự án</t>
  </si>
  <si>
    <t>Ứng dụng điện thoại BookWander</t>
  </si>
  <si>
    <t>Người đánh giá</t>
  </si>
  <si>
    <t>Lê Thảo Quyên</t>
  </si>
  <si>
    <t>Mã dự án</t>
  </si>
  <si>
    <t>BOOKWANDER</t>
  </si>
  <si>
    <t>Ngày đánh giá</t>
  </si>
  <si>
    <t>Người tạo</t>
  </si>
  <si>
    <t>Trịnh Đức Toàn</t>
  </si>
  <si>
    <t>Người duyệt</t>
  </si>
  <si>
    <t>Nguyễn Hữu Khoa</t>
  </si>
  <si>
    <t>Phiên bản</t>
  </si>
  <si>
    <t>BOOKWANDER 1.0</t>
  </si>
  <si>
    <t>Ngày duyệt</t>
  </si>
  <si>
    <t>Phiên bản Testcase</t>
  </si>
  <si>
    <t>1.0</t>
  </si>
  <si>
    <t>Tài liệu tham khảo</t>
  </si>
  <si>
    <t>#</t>
  </si>
  <si>
    <t>Tiêu đề / Tên file</t>
  </si>
  <si>
    <t>Tác giả</t>
  </si>
  <si>
    <t>Ngày có hiệu lực</t>
  </si>
  <si>
    <t>Ghi chú</t>
  </si>
  <si>
    <t>STT</t>
  </si>
  <si>
    <t>Module</t>
  </si>
  <si>
    <t>Test 1</t>
  </si>
  <si>
    <t>Test 2</t>
  </si>
  <si>
    <t>Test 3</t>
  </si>
  <si>
    <t>Pass</t>
  </si>
  <si>
    <t>Fail</t>
  </si>
  <si>
    <t>Untested</t>
  </si>
  <si>
    <t>Các chức năng Testing</t>
  </si>
  <si>
    <t>No</t>
  </si>
  <si>
    <t>Chức năng</t>
  </si>
  <si>
    <t>Sheet Name</t>
  </si>
  <si>
    <t>Mô tả</t>
  </si>
  <si>
    <t>Đăng ký</t>
  </si>
  <si>
    <t>Người dùng cung cấp email và mật khẩu để tạo tài khoản</t>
  </si>
  <si>
    <t>Đăng nhập</t>
  </si>
  <si>
    <t>Người dùng sử dụng tài khoản đã đăng kí để truy cập vào ứng dụng</t>
  </si>
  <si>
    <t>Thay đổi thông tin người dùng</t>
  </si>
  <si>
    <t xml:space="preserve">Quản lý từ điển </t>
  </si>
  <si>
    <t>Cho phép người dùng lưu, xóa từ vựng xuất hiện trong sách</t>
  </si>
  <si>
    <t>Cho phép người dùng thêm, sửa, xóa các mục tiêu đọc sách trong khoảng thời gian tự thiết lập</t>
  </si>
  <si>
    <t>Phân loại sách theo trạng thái đọc, cho phép thêm, sửa, xóa danh sách những cuốn sách đã lưu</t>
  </si>
  <si>
    <t>Tìm kiếm sách</t>
  </si>
  <si>
    <t>Cho phép người dùng tìm kiếm sách dựa theo tên và thể loại</t>
  </si>
  <si>
    <t>No.</t>
  </si>
  <si>
    <t>&lt;Đăng nhập&gt;</t>
  </si>
  <si>
    <t>Tester</t>
  </si>
  <si>
    <t>Round test</t>
  </si>
  <si>
    <t>No. of Test Cases (PASS)</t>
  </si>
  <si>
    <t>No. of Test Cases (FAIL)</t>
  </si>
  <si>
    <t>No. of Test Cases (Untested)</t>
  </si>
  <si>
    <t>No. of Test Cases (N/A)</t>
  </si>
  <si>
    <t>No. of Test Cases (Blocking)</t>
  </si>
  <si>
    <t>Total No. of Test Cases</t>
  </si>
  <si>
    <t>Đối tượng</t>
  </si>
  <si>
    <t>Điều kiện</t>
  </si>
  <si>
    <t>Tên Test Case</t>
  </si>
  <si>
    <t>Các bước thực hiện</t>
  </si>
  <si>
    <t>Kết quả</t>
  </si>
  <si>
    <t>Kết quả Test</t>
  </si>
  <si>
    <t>Comment</t>
  </si>
  <si>
    <t>Remarks</t>
  </si>
  <si>
    <t>Screenshot</t>
  </si>
  <si>
    <t>Ngày test</t>
  </si>
  <si>
    <t>Nhập thông tin đăng nhập</t>
  </si>
  <si>
    <t>Kiểm tra UI</t>
  </si>
  <si>
    <t>UI</t>
  </si>
  <si>
    <t>1. Người dùng đã đăng ký tài khoản</t>
  </si>
  <si>
    <t>UI đăng nhập</t>
  </si>
  <si>
    <t>1. Truy cập vào ứng dụng</t>
  </si>
  <si>
    <t>1. Màn hình phải thể hiện rõ Đăng nhập
2. Biểu mẫu đăng nhập bao gồm 2 trường bắt buộc:
a. Email
b. Mật khẩu</t>
  </si>
  <si>
    <t>21/01/2024</t>
  </si>
  <si>
    <t>16/02/2024</t>
  </si>
  <si>
    <t>1. Tại màn hình đăng nhập</t>
  </si>
  <si>
    <t>Các nút đăng nhập</t>
  </si>
  <si>
    <t>1. Kiểm tra các nút chức năng, đường dẫn.</t>
  </si>
  <si>
    <t>1. Hiển thị đầy đủ và đúng theo thiết kế</t>
  </si>
  <si>
    <t>Placeholder các trường trong Đăng nhập</t>
  </si>
  <si>
    <t>1. Kiểm tra placeholder text của các trường</t>
  </si>
  <si>
    <t>1. Hiển thị placeholder cho tất cả các trường khi ở trạng thái mặc định ban đầu
2. Biến mất khi người dùng click và trường đó</t>
  </si>
  <si>
    <t>Check responsive với các thiết bị khác</t>
  </si>
  <si>
    <t>1. Người dùng được cung cấp tài khoản truy cập vào ứng dụng
2. Sử dụng các thiết bị di động có tỉ lệ, kích thước màn hình khác nhau</t>
  </si>
  <si>
    <t>Kiểm tra responsive</t>
  </si>
  <si>
    <t>1. Truy cập vào ứng dụng với các thiết bị khác nhau
2. Kiểm tra responsive giữa các màn hình</t>
  </si>
  <si>
    <t>1. ứng dụng hỗ trợ hiển thị trên các thiết bị Mobile khác nhau</t>
  </si>
  <si>
    <t>Kiểm tra validate của các trường trong màn Đăng nhập</t>
  </si>
  <si>
    <t>Email</t>
  </si>
  <si>
    <t>Nhập khoảng trống vào trong trường email</t>
  </si>
  <si>
    <t>1. Truy cập ứng dụng
2. Nhấn vào trường Email
3. Nhập khoảng trống cho trường Email
4. Các trường khác hợp lệ
5. Nhấn nút Đăng nhập</t>
  </si>
  <si>
    <t>1. Hiển thị thông báo lỗi dưới trường Tên đăng nhập
2. Disable nút Đăng nhập</t>
  </si>
  <si>
    <t>Nhập sai tên đăng nhập</t>
  </si>
  <si>
    <t>1. Truy cập vào ứng dụng
2. Nhấn vào trường Tài khoản
3. Nhập sai tên đăng nhập đã đăng kí trên ứng dụng cho trường Email
4. Các trường khác hợp lệ
5. Nhấn nút Đăng nhập</t>
  </si>
  <si>
    <t>1. Hiển thị thông báo lỗi: Email hoặc mật khẩu không chính xác</t>
  </si>
  <si>
    <t>Mật khẩu</t>
  </si>
  <si>
    <t>Bỏ trống trường mật khẩu</t>
  </si>
  <si>
    <t>1. Truy cập vào ứng dụng
2. Nhấn vào trường Email
3. Nhập khoảng trống cho trường Mật khẩu
4. Các trường khác hợp lệ
5. Nhấn nút Đăng nhập</t>
  </si>
  <si>
    <t>1. Hiển thị thông báo lỗi dưới trường Mật khẩu
2. Disable nút Đăng nhập</t>
  </si>
  <si>
    <t>Nhập sai mật khẩu</t>
  </si>
  <si>
    <t>1. Truy cập vào ứng dụng
2. Nhấn vào trường Tài khoản
3. Nhập sai mật khẩu của tài khoản cho trường Mật khẩu
4. Các trường khác hợp lệ
5. Nhấn nút Đăng nhập</t>
  </si>
  <si>
    <t>1. Hiển thị thông báo lỗi: Tên đăng nhập hoặc mật khẩu không chính xác</t>
  </si>
  <si>
    <t>Kiểm tra các nút chức năng trong màn Đăng nhập</t>
  </si>
  <si>
    <t>Kiểm tra link "Quên mật khẩu?"</t>
  </si>
  <si>
    <t>Quên mật khẩu</t>
  </si>
  <si>
    <t>1. Truy cập vào ứng dụng
2. Hiển thị màn Đăng nhập
3. Nhấn chuột vào link "Quên mật khẩu"</t>
  </si>
  <si>
    <t>1. Chuyển tới màn "Quên mật khẩu"</t>
  </si>
  <si>
    <t>Kiểm tra nút "Đăng nhập"</t>
  </si>
  <si>
    <t>Nút Đăng nhập</t>
  </si>
  <si>
    <t>1. Truy cập vào ứng dụng
2. Hiển thị màn Đăng nhập
3. Nhấn chuột vào nút "Đăng nhập"</t>
  </si>
  <si>
    <t>1. Hiển thị thông báo lỗi dưới mỗi trường trong màn Đăng nhập</t>
  </si>
  <si>
    <t>1. Người dùng truy cập vào ứng dụng</t>
  </si>
  <si>
    <t>Kiểm tra giao diện Đăng nhập</t>
  </si>
  <si>
    <t>1. Truy cập vào ứng dụng
2. Người dùng nhấn vào "Quên mật khẩu"</t>
  </si>
  <si>
    <t>1. ứng dụng chuyển hướng người dùng tới màn Quên mật khẩu
2. Màn hình thể hiện màn Quên mật khẩu
3. Biểu mẫu quên mật khẩu bao gồm trường:
a. Textbox Nhập Email
4. Biểu mẫu nhập mã xác thực gồm trường:
a. Textbox Nhập OTP</t>
  </si>
  <si>
    <t>1. Tại màn Quên mật khẩu</t>
  </si>
  <si>
    <t>1. Kiểm tra các nút chức năng: Tạo mật khẩu mới, Quay lại, Nhận mã</t>
  </si>
  <si>
    <t>1. Hiển thị placeholder cho tất cả các trường khi ở trạng thái mặc định ban đầu
- Biến mất khi người dùng click và trường đó</t>
  </si>
  <si>
    <t>Kiểm tra validate các trường trong màn Quên mật khẩu</t>
  </si>
  <si>
    <t>Kiểm tra lấy mã OTP</t>
  </si>
  <si>
    <t>Nhập Email</t>
  </si>
  <si>
    <t>Để trống Email</t>
  </si>
  <si>
    <t xml:space="preserve">1. Truy cập ứng dụng
2. Tại màn Đăng nhập nhấn Quên mật khẩu
3. Tại màn Quên mật khẩu: Người dùng để trống textbox Nhập Email
4.  Nhấn nút "Gửi mã" </t>
  </si>
  <si>
    <t>1. Hiển thị thông báo lỗi: Nhập email là bắt buộc
2. Focus vào textbox Nhập email</t>
  </si>
  <si>
    <t>Nhập sai định dạng email</t>
  </si>
  <si>
    <t xml:space="preserve">1. Truy cập ứng dụng 
2. Tại màn Đăng nhập nhấn Quên mật khẩu
3. Tại màn Quên mật khẩu: Người dùng nhập vào Email không đúng định dạng
Lưu ý: Định dạng Email theo mẫu: xxx@xxx.xxx 
4.  Nhấn nút "Gửi mã"  </t>
  </si>
  <si>
    <t>1. Hiển thị thông báo lỗi: Email không hợp lệ
2. Focus vào textbox Nhập email</t>
  </si>
  <si>
    <t>1@1 vẫn hợp lệ nếu email không có @ hoặc trước và sau @ không có kí tự nào thì nút submit load nhưng không có gì xảy ra cho dù thời gian là bao lâu</t>
  </si>
  <si>
    <t>Email chưa đăng kí</t>
  </si>
  <si>
    <t xml:space="preserve">1. Truy cập ứng dụng 
2. Tại màn Đăng nhập nhấn Quên mật khẩu
3. Tại màn Quên mật khẩu: Người dùng nhập vào email chưa đăng kí tài khoản để đăng nhập vào ứng dụng
Lưu ý: Định dạng Email theo mẫu: xxx@xxx.xxx 
4. Bỏ qua nút "Gửi mã" 
5. Nhấn nút "Xác nhận" </t>
  </si>
  <si>
    <t>1. Thông báo không tồn tại tài khoản</t>
  </si>
  <si>
    <t>Tài khoản nào cũng được</t>
  </si>
  <si>
    <t>1. Email đăng kí tài khoản trong ứng dụng</t>
  </si>
  <si>
    <t>Nhập email hợp lệ</t>
  </si>
  <si>
    <t xml:space="preserve">1. Truy cập ứng dụng 
2. Tại màn Đăng nhập nhấn Quên mật khẩu
3. Tại màn Quên mật khẩu: Nhập email đã đăng kí tài khoản để đăng nhập vào ứng dụng
Lưu ý: Định dạng Email theo mẫu: xxx@xxx.xxx 
4.  Nhấn nút "Gửi mã" </t>
  </si>
  <si>
    <t>1. Thông báo gửi mã thành công 
- ứng dụng gửi mã OTP về email</t>
  </si>
  <si>
    <t>Nhập mã OTP</t>
  </si>
  <si>
    <t>1. Người dùng truy cập vào ứng dụng
2. Người dùng đã nhận được mã OTP gửi về Email (thực hiện thành công testcase &lt;Đăng nhập&gt;_17</t>
  </si>
  <si>
    <t>Để trống  mã OTP</t>
  </si>
  <si>
    <t>1. Truy cập ứng dụng 
2. Tại màn Đăng nhập nhấn Quên mật khẩu
3. Để trống textbox Nhập mã OTP
4. Nhấn nút Xác nhận</t>
  </si>
  <si>
    <t>1. Hiển thị thông báo: Mã OTP là yêu cầu
2. Focus textbox Nhập mã OTP</t>
  </si>
  <si>
    <t>thông báo lỗi chưa có nội dung</t>
  </si>
  <si>
    <t>Nhập sai OTP</t>
  </si>
  <si>
    <t>1. Truy cập ứng dụng 
2. Tại màn Đăng nhập nhấn Quên mật khẩu
3. Nhập mã OTP không chính xác cho trường Nhập mã OTP
4. Nhấn nút Xác nhận</t>
  </si>
  <si>
    <t>1. Hiển thị thông báo Mã OTP không chính xác</t>
  </si>
  <si>
    <t>Nhập đúng OTP</t>
  </si>
  <si>
    <t>1. Truy cập ứng dụng 
2. Tại màn Đăng nhập nhấn Quên mật khẩu
3. Nhập mã OTP chính xác cho trường Nhập mã OTP
4. Nhấn nút Xác nhận</t>
  </si>
  <si>
    <t>1. Chuyển hướng người dùng tới màn Tạo mật khẩu mới</t>
  </si>
  <si>
    <t>OTP hết thời hạn</t>
  </si>
  <si>
    <t>1. Truy cập ứng dụng 
2. Tại màn Đăng nhập nhấn Quên mật khẩu
3. Nhập mã OTP chính xác nhưng quá thời gian tồn tại của mã OTP 120s cho trường Nhập mã OTP
4. Nhấn nút Xác nhận</t>
  </si>
  <si>
    <t>Tạo mật khẩu mới</t>
  </si>
  <si>
    <t xml:space="preserve">1. Người dùng được cung cấp tài khoản truy cập vào ứng dụng
2. Thực hiện thành công testcase &lt;Đăng nhập&gt;_20
</t>
  </si>
  <si>
    <t>Giao diện đổi mật khảu</t>
  </si>
  <si>
    <t>1. Truy cập vào ứng dụng
2. Người dùng nhấn vào "Quên mật khẩu"
3. Người dùng nhập vào Email đúng định dạng
Lưu ý: Định dạng Email theo mẫu: xxx@xxx.xxx 
4. Người dùng nhấn nút Lấy mã
5. Người dùng nhập mã OTP lấy từ Email
6. Nhấn nút Tạo mật khẩu mới</t>
  </si>
  <si>
    <t>1. ứng dụng chuyển hướng người dùng đến màn Đặt lại mật khẩu
2. Tiêu đề màn là Đặt lại mật khẩu
3. Biểu mẫu quên mật khẩu bao gồm trường:
a. Mật khẩu mới
b. Xác nhận mật khẩu</t>
  </si>
  <si>
    <t>1. Tại màn Tạo mật khẩu mới</t>
  </si>
  <si>
    <t>Kiểm tra button</t>
  </si>
  <si>
    <t>1. Kiểm tra các nút chức năng: Xác nhận, Quay lại</t>
  </si>
  <si>
    <t>Kiểm tra placholder</t>
  </si>
  <si>
    <t>1. Hiển thị placeholder cho tất cả các trường khi ở trạng thái mặc định ban đầu
- Biến mất khi người dùng nhập nội dung vào trường đó</t>
  </si>
  <si>
    <t>Kiểm tra validate các trường trong màn Tạo mật khẩu mới</t>
  </si>
  <si>
    <t>Nhập mật khẩu mới</t>
  </si>
  <si>
    <t>Để trống trường nhập mật khẩu mới</t>
  </si>
  <si>
    <t>1. Tại màn Tạo mật khẩu mới
2. Để trống hoặc nhập khoảng trắng cho trường Nhập mật khẩu mới
3. Các trường khác hợp lệ
4. Nhấn nút Tạo mật khẩu mới</t>
  </si>
  <si>
    <t xml:space="preserve">1. Hiển thị lỗi dưới textbox Nhập mật khẩu mới
</t>
  </si>
  <si>
    <t>Kiểm tra kí tự</t>
  </si>
  <si>
    <t>1. Tại màn Tạo mật khẩu mới
2. Nhập sai điều kiện mật khẩu cho trường Nhập mật khẩu mới
Điều kiện mật khẩu: 
- Mật khẩu có độ dài tối thiểu 9 ký tự,
- Mật khẩu bao gồm 4 loại ký tự: Ký tự chữ thường, ký tự chữ hoa, ký tự số, ký tự đặc biệt.
3. Các trường khác hợp lệ
4. Nhấn nút Tạo mật khẩu mới</t>
  </si>
  <si>
    <t xml:space="preserve">1. Hiển thị lỗi dưới textbox Nhập mật khẩu mới: Mật khẩu mới không hợp lệ
</t>
  </si>
  <si>
    <t>1. Tại màn Tạo mật khẩu mới
2. Nhập đúng điều kiện mật khẩu cho trường Nhập mật khẩu mới
Điều kiện mật khẩu: 
- Mật khẩu có độ dài tối thiểu 9 ký tự,
- Mật khẩu bao gồm 4 loại ký tự: Ký tự chữ thường, ký tự chữ hoa, ký tự số, ký tự đặc biệt.
3. Các trường khác hợp lệ
4. Nhấn nút Tạo mật khẩu mới</t>
  </si>
  <si>
    <t>1. Hiển thị thông báo: Tạo mật khẩu mới thành công
- Đăng nhập ứng dụng với mật khẩu vừa đổi thành công</t>
  </si>
  <si>
    <t>Nhập lại mật khẩu mới</t>
  </si>
  <si>
    <t>Để trống trường nhập lại mật khẩu mới</t>
  </si>
  <si>
    <t>1. Tại màn Tạo mật khẩu mới
2. Để trống hoặc nhập khoảng trắng cho trường Nhập lại mật khẩu mới
3. Các trường khác hợp lệ
4. Nhấn nút Tạo mật khẩu mới</t>
  </si>
  <si>
    <t>1. Hiển thị lỗi dưới textbox Nhập lại mật khẩu mới</t>
  </si>
  <si>
    <t>Mật khẩu không trùng khớp</t>
  </si>
  <si>
    <t>1. Tại màn Tạo mật khẩu mới
2. Nhập lại mật khẩu không khớp với mật khẩu mới cho trường Nhập lại mật khẩu mới
3. Các trường khác hợp lệ
4. Nhấn nút Tạo mật khẩu mới</t>
  </si>
  <si>
    <t xml:space="preserve">1. Hiển thị lỗi dưới textbox Nhập lại mật khẩu mới: Nhập lại mật khẩu mới không khớp với Nhập mật khẩu mới
</t>
  </si>
  <si>
    <t>Mật khẩu trùng khớp</t>
  </si>
  <si>
    <t>1. Tại màn Tạo mật khẩu mới
2. Nhập lại mật khẩu khớp với mật khẩu mới cho trường Nhập lại mật khẩu mới
3. Các trường khác hợp lệ
4. Nhấn nút Tạo mật khẩu mới</t>
  </si>
  <si>
    <t>1. Hiển thị thông báo: Đổi mật khẩu thành công
2. Chuyển về màn hình đăng nhập</t>
  </si>
  <si>
    <t>&lt;Đăng ký&gt;</t>
  </si>
  <si>
    <t>Nhập thông tin đăng ký</t>
  </si>
  <si>
    <t>Tại giao diện đăng ký</t>
  </si>
  <si>
    <t>Kiểm tra Giao diện mặc định của màn hình Đăng ký</t>
  </si>
  <si>
    <t xml:space="preserve">1. Truy cập vào ứng dụng
2. Di chuyển tới màn hình đăng ký
</t>
  </si>
  <si>
    <t>1. Màn hình phải thể hiện rõ Đăng ký
2. UI của màn hình đăng ký được hiển thị rõ 4 trường bắt buộc:
-Name
-Email
-Password
-Re-pasword</t>
  </si>
  <si>
    <t>Check các bố cục, căn chỉnh các trường, font, size, color, ...</t>
  </si>
  <si>
    <t>1 Kiểm tra bố cục, căn chỉnh các trường, font, size, ... của form đăng ký</t>
  </si>
  <si>
    <t>1. Căn chỉnh các field hợp lý, thẳng hàng 
2. Bố cục ,font,size,color hiển thị rõ</t>
  </si>
  <si>
    <t>Kiểm tra validate của các trường trong màn Đăng ký</t>
  </si>
  <si>
    <t>Name</t>
  </si>
  <si>
    <t>1. Người dùng chưa đăng ký tài khoản</t>
  </si>
  <si>
    <t>Để trống trường "Name"</t>
  </si>
  <si>
    <t>1. Truy cập ứng dụng
2. Nhấn vào trường "Name"
3. Nhập khoảng trống cho trường Name
4. Các trường khác hợp lệ
5. Nhấn nút Đăng ký</t>
  </si>
  <si>
    <t>1. Hiển thị thông báo lỗi dưới trường "Name" với nội dung: "Bắt buộc nhập tên"
2. Disable nút Đăng ký</t>
  </si>
  <si>
    <t>Kiểm tra độ dài tối thiểu của kí tự</t>
  </si>
  <si>
    <t>1. Truy cập vào ứng dụng
2. Nhấn vào trường "Name"
3. Nhập 1 ký tự hợp lệ vào trường "Name"
4. Các trường khác hợp lệ
5. Nhấn nút Đăng ký</t>
  </si>
  <si>
    <t>1. "Đăng ký thành công"
2. Di chuyển tới màn chọn thể loại sách</t>
  </si>
  <si>
    <t>Kiểm tra độ dài tối đa của kí tự</t>
  </si>
  <si>
    <t>1. Truy cập vào ứng dụng
2. Nhấn vào trường "Name"
3. Nhập 51 ký tự hợp lệ vào trường "Name"
4. Các trường khác hợp lệ
5. Nhấn nút Đăng ký</t>
  </si>
  <si>
    <t xml:space="preserve">
1. Hiển thị thông báo lỗi dưới trường "Name" với nội dung :
 "Hệ thống không cho phép nhập quá 50 ký tự "
2. Focus vào trường "Name"</t>
  </si>
  <si>
    <t>Giới hạn số ký tự của tên (50 kỹ tự)</t>
  </si>
  <si>
    <t>1. Truy cập vào ứng dụng
2. Nhấn vào trường "Name"
3. Nhập 50 ký tự hợp lệ vào trường "Name"
4. Các trường khác hợp lệ
5. Nhấn nút Đăng ký</t>
  </si>
  <si>
    <t>Nhập kí tự đặc biệt vào trường "Name"</t>
  </si>
  <si>
    <t>1. Truy cập vào ứng dụng
2. Nhấn vào trường "Name"
3. Nhập tự đặc biệt vào trường "Name". VD (%,&amp;,$,..)
4. Các trường khác hợp lệ
5. Nhấn nút Đăng ký</t>
  </si>
  <si>
    <t xml:space="preserve">
1. Hiển thị thông báo lỗi dưới trường "Name" với nội dung :
 "Không được nhập kí tự đặc biệt "
2. Focus vào trường "Name"</t>
  </si>
  <si>
    <t>Tên người không có kí tự đặc biệt, nhưng khi nhập vẫn đăng kí được</t>
  </si>
  <si>
    <t xml:space="preserve">Nhập khoảng trống vào trước/ sau tên </t>
  </si>
  <si>
    <t>1. Truy cập vào ứng dụng
2. Nhấn vào trường "Name"
3. Nhập space vào trước và sau text trên field "Họ tên" .
Ví dụ : "   Dang Anh       "
4. Các trường khác hợp lệ
5. Nhấn nút Đăng ký</t>
  </si>
  <si>
    <t xml:space="preserve">
1. Màn hình hiển thị thông báo : "Đăng ký thành công"
&gt;&gt; Hệ thống sẽ tự động loại bỏ khoảng trắng trước /sau dữ liệu vừa nhập và lưu thành công vào trong DB</t>
  </si>
  <si>
    <t>Chưa xóa bỏ được khoảng trắng trước và sau tên</t>
  </si>
  <si>
    <t>1.Người dùng chưa đăng ký tài khoản</t>
  </si>
  <si>
    <t>Để trống trường "Email"</t>
  </si>
  <si>
    <t>1. Truy cập vào ứng dụng
2. Nhấn vào trường "Email"
3. Nhập khoảng trống cho trường "Email"
4. Các trường khác hợp lệ
5. Nhấn nút Đăng ký</t>
  </si>
  <si>
    <t xml:space="preserve">
1. Hiển thị thông báo lỗi dưới trường "Email" với nội dung :
 "Đây là trường bắt buộc phải nhập "
- Focus vào trường bị lỗi</t>
  </si>
  <si>
    <t xml:space="preserve"> Email chưa tồn tại trong DB</t>
  </si>
  <si>
    <t xml:space="preserve">Kiểm tra độ dài tối đa
</t>
  </si>
  <si>
    <t>1. Truy cập vào ứng dụng
2. Nhấn vào trường "Email"
3. Nhập 41 kí tự vào trường "Email"
4. Các trường khác hợp lệ
5. Nhấn nút Đăng ký</t>
  </si>
  <si>
    <t xml:space="preserve">
1. Hiển thị thông báo lỗi dưới trường "Email" với nội dung :
 "Hệ thống không cho phép nhập quá 40 ký tự "
2. Focus vào trường "Email"</t>
  </si>
  <si>
    <t>Giới hạn số ký tự của tên (40 kỹ tự)</t>
  </si>
  <si>
    <t>1. Truy cập vào ứng dụng
2. Nhấn vào trường "Email"
3. Nhập 40 kí tự vào trường "Email"
4. Các trường khác hợp lệ
5. Nhấn nút Đăng ký</t>
  </si>
  <si>
    <t>1. Truy cập vào ứng dụng
2. Nhấn vào trường "Email"
3. Nhập thiếu tên miền email vào trường "Email"
Ví dụ: abc@xyz
4. Các trường khác hợp lệ
5. Nhấn nút Đăng ký</t>
  </si>
  <si>
    <t>1. Hiển thị thông báo lỗi dưới trường "Email " với nội dung :
 "Bạn vừa nhập sai định dạng Email "
2. Focus vào field bị lỗi</t>
  </si>
  <si>
    <t>1. Truy cập vào ứng dụng
2. Nhấn vào trường "Email"
3. Nhập thiếu @ email vào trường "Email"
Ví dụ: abcxyz.com
4. Các trường khác hợp lệ
5. Nhấn nút Đăng ký</t>
  </si>
  <si>
    <t>1. Truy cập vào ứng dụng
2. Nhấn vào trường "Email"
3. Nhập thiếu tên miền email sau dấu chấm vào trường "Email"
Ví dụ: abc@xyz.
4. Các trường khác hợp lệ
5. Nhấn nút Đăng ký</t>
  </si>
  <si>
    <t>1. Truy cập vào ứng dụng
2. Nhấn vào trường "Email"
3. Nhập kí tự đặc biệt (trừ @) vào trường "Email"
Ví dụ: abc$%^@xyz.com
4. Các trường khác hợp lệ
5. Nhấn nút Đăng ký</t>
  </si>
  <si>
    <t>Email không chứa kí tự đặc biệt</t>
  </si>
  <si>
    <t>Nhập html, java script vào trường "Email"</t>
  </si>
  <si>
    <t>1. Truy cập vào ứng dụng
2. Nhấn vào trường "Email"
3. Nhập html ,java script vào trường "Email"
Ví dụ : &lt;script&gt; alert ('Hello') &lt;/script&gt;
4. Các trường khác hợp lệ
5. Nhấn nút Đăng ký</t>
  </si>
  <si>
    <t>1. Hệ thống không thực thi đoạn html,  java script đó và hiển thị thông báo lỗi nhập sai định dạng dữ liệu</t>
  </si>
  <si>
    <t>Email đã tồn tại trong DB</t>
  </si>
  <si>
    <t>Nhập Email đã tồn tại trong DB vào trường "Email"</t>
  </si>
  <si>
    <t>"1. Truy cập vào ứng dụng
2. Nhấn vào trường ""Email""
3. Nhập Email đã tồn tại trong DB vào trường "Email"
4. Các trường khác hợp lệ
5. Nhấn nút Đăng ký"</t>
  </si>
  <si>
    <t>1. Hiển thị thông báo lỗi với nội dung: "Email đã tồn tại"</t>
  </si>
  <si>
    <t>Email chưa tồn tại trong DB</t>
  </si>
  <si>
    <t>Nhập email toàn chữ hoa</t>
  </si>
  <si>
    <t>1. Truy cập vào ứng dụng
2. Nhấn vào trường "Email"
3. Nhập email toàn chữ hoa vào trường "Email"
4. Các trường khác hợp lệ
5. Nhấn nút Đăng ký</t>
  </si>
  <si>
    <t>1. Hiển thị thông báo: "Đăng ký thành công"
2. Hệ thống tự chuyển đổi và lưu email thành chữ thường trong DB</t>
  </si>
  <si>
    <t>chưa chuyển thành chữ thường</t>
  </si>
  <si>
    <t xml:space="preserve">Nhập khoảng trống vào trước/ sau email </t>
  </si>
  <si>
    <t>1. Truy cập vào ứng dụng
2. Nhấn vào trường "Email"
3. Nhập khoảng trống vào trước và sau email hợp lệ trên trường "Email" với độ dài hợp lệ 
4. Các trường khác hợp lệ
5. Nhấn nút Đăng ký</t>
  </si>
  <si>
    <t>1. Màn hình hiển thị thông báo : "Đăng ký thành công".
&gt;&gt; Hệ thống sẽ tự động loại bỏ khoảng trắng trước /sau dữ liệu vừa nhập và lưu thành công vào trong DB</t>
  </si>
  <si>
    <t>không cho nhập khoảng trống</t>
  </si>
  <si>
    <t>Để trống trường "Mật khẩu"</t>
  </si>
  <si>
    <t>1. Truy cập vào ứng dụng
2. Nhấn vào trường "Mật khẩu"
3. Nhập khoảng trống cho trường "Mật khẩu"
4. Các trường khác hợp lệ
5. Nhấn nút Đăng ký</t>
  </si>
  <si>
    <t xml:space="preserve">
1. Hiển thị thông báo lỗi dưới trường "Mật khẩu" với nội dung :
 "Đây là trường bắt buộc phải nhập "
2. Focus vào trường bị lỗi
3. Disable nút Đăng ký</t>
  </si>
  <si>
    <t>Kiểm tra hiển thị của trường "Mật khẩu"</t>
  </si>
  <si>
    <t>1. Truy cập vào ứng dụng
2. Nhấn vào trường "Mật khẩu"
3. Nhập dữ liệu vào trường "Mật khẩu"
4. Quan sát hiển thị ở trường "Mật khẩu"</t>
  </si>
  <si>
    <t>1. Mật khẩu vừa nhập hiển thị theo dạng ****</t>
  </si>
  <si>
    <t>Kiểm tra độ dài tối thiểu của trường 
"Mật khẩu"</t>
  </si>
  <si>
    <t>1. Truy cập vào ứng dụng
2. Nhấn vào trường "Mật khẩu"
3.  Nhập chữ/số vào trường " Mật khẩu" với độ dài =7  ký tự
4. Các trường khác hợp lệ
5. Nhấn nút Đăng ký</t>
  </si>
  <si>
    <t>Hiển thị thông báo lỗi dưới trường "Mật khẩu " với nội dung :
 "Mật khẩu phải có độ dài ít nhất là 8 ký tự "</t>
  </si>
  <si>
    <t>1 kí tự vẫn chấp nhận</t>
  </si>
  <si>
    <t>1. Truy cập vào ứng dụng
2. Nhấn vào trường "Mật khẩu"
3.  Nhập chữ/số vào trường " Mật khẩu" với độ dài =8  ký tự
4. Các trường khác hợp lệ
5. Nhấn nút Đăng ký</t>
  </si>
  <si>
    <t>1. Màn hình hiển thị thông báo : "Đăng ký thành công"</t>
  </si>
  <si>
    <t>Nhập Mật khẩu có độ dài  [8,50] ký tự nhưng không có chứa số</t>
  </si>
  <si>
    <t>1. Truy cập vào ứng dụng
2. Nhấn vào trường "Mật khẩu"
3. Nhập Mật khẩu có độ dài  [8,50] ký tự nhưng không có chứa số
4. Các trường khác hợp lệ
5. Nhấn nút Đăng ký</t>
  </si>
  <si>
    <t>1. Hiển thị thông báo lỗi với nội dung: "Mật khẩu phải bao gồm cả chữ và số"</t>
  </si>
  <si>
    <t>để tăng tính bảo mật thì nên có cả chữ và số</t>
  </si>
  <si>
    <t>Nhập lại mật khẩu</t>
  </si>
  <si>
    <t>Để trống trường "Nhập lại mật khẩu"</t>
  </si>
  <si>
    <t>1. Truy cập vào ứng dụng
2. Nhấn vào trường "Mật khẩu"
3. Nhập khoảng trống cho trường "Nhập lại mật khẩu"
4. Các trường khác hợp lệ
5. Nhấn nút Đăng ký</t>
  </si>
  <si>
    <t>Kiểm tra hiển thị của trường "Nhập lại mật khẩu"</t>
  </si>
  <si>
    <t>1. Truy cập vào ứng dụng
2. Nhấn vào trường "Nhập lại mật khẩu"
3. Nhập dữ liệu vào trường "Nhập lại mật khẩu"
4. Quan sát hiển thị ở trường "Nhập lại mật khẩu"</t>
  </si>
  <si>
    <t>Nhập mật khẩu không trùng khớp với mật khẩu đã nhập ở trường "Mật khẩu "</t>
  </si>
  <si>
    <t>1. Truy cập vào ứng dụng
2. Nhấn vào trường "Mật khẩu"
3. Nhập mật khẩu vào trường "Nhập lại mật khẩu" không trùng khớp với trường "Mật khẩu"
4. Các trường khác hợp lệ
5. Nhấn nút Đăng ký</t>
  </si>
  <si>
    <t>1. Hiển thị thông báo lỗi với nội dung: "Mật khẩu không trùng khớp"
2.Focus vào trường "Nhập lại mật khẩu"</t>
  </si>
  <si>
    <t>Nhập mật khẩu trùng khớp với mật khẩu đã nhập ở trường "Mật khẩu "</t>
  </si>
  <si>
    <t>1. Truy cập vào ứng dụng
2. Nhấn vào trường "Mật khẩu"
3. Nhập mật khẩu vào trường "Nhập lại mật khẩu" trùng khớp với trường "Mật khẩu"
4. Các trường khác hợp lệ
5. Nhấn nút Đăng ký</t>
  </si>
  <si>
    <t>Function testing</t>
  </si>
  <si>
    <t>Kiểm tra nút "Đăng ký"</t>
  </si>
  <si>
    <t>1. Người dùng chưa có tài khoản</t>
  </si>
  <si>
    <t>Đăng ký thành công</t>
  </si>
  <si>
    <t>1. Truy cập vào ứng dụng
2. Hiển thị màn Đăng ký
3. Nhập hợp lệ các trường
4. Nhấn chuột vào nút "Đăng ký"</t>
  </si>
  <si>
    <t>1. Đăng ký thành công và tự đăng nhập</t>
  </si>
  <si>
    <t>Đăng ký không thành công</t>
  </si>
  <si>
    <t>1. Truy cập vào ứng dụng
2. Hiển thị màn Đăng ký
3. Nhấn chuột vào nút "Đăng ký"</t>
  </si>
  <si>
    <t>1. Hiển thị thông báo "Đăng ký không thành công" và hiển thị lỗi dưới mỗi trường bị lỗi</t>
  </si>
  <si>
    <t>Đăng ký không thành công trong trường hợp đang nhấn  button  [Create Account] thì bị mất kêt nối với server</t>
  </si>
  <si>
    <t>1.Nhập valid data vào tất cả các field.
2. Click chuột và  button  [Create Account] nhưng bị mất kết nối với server</t>
  </si>
  <si>
    <t xml:space="preserve">1. Hiển thị thông báo lỗi với nội dung: " Đăng ký không thành công do mất kết nối với sever.
</t>
  </si>
  <si>
    <t>&lt;Thông tin&gt;</t>
  </si>
  <si>
    <t>Account</t>
  </si>
  <si>
    <t>Profile Details</t>
  </si>
  <si>
    <t xml:space="preserve">UI testing </t>
  </si>
  <si>
    <t>1. Người dùng đã có và đã đăng nhập vào tài khoản
2. Người dùng muốn thay đổi thông tin</t>
  </si>
  <si>
    <t>UI Profile Details</t>
  </si>
  <si>
    <t>1. Đăng nhập vào ứng dụng
2. Di chuyển tới màn hình Profile Details
3. Quan sát hiển thị</t>
  </si>
  <si>
    <t>Từ trên xuống dưới
1. Hiển thị nút trở lại, tên tiêu đề
2. Hiển thị tên hiện tại ở trường Your Name
3. Hiển thị trường Email nhưng không được thay đổi
4. Hiển thị trường chọn ngày sinh
5. Hiển thị nút submit</t>
  </si>
  <si>
    <t>22/01/2024</t>
  </si>
  <si>
    <t>Kiểm tra validate của các trường trong màn Profile Details</t>
  </si>
  <si>
    <t>Your Name</t>
  </si>
  <si>
    <t>1. Người dùng đã có và đã đăng nhập vào tài khoản</t>
  </si>
  <si>
    <t>Nhập các kí tự hợp lệ vào trường "Your Name"</t>
  </si>
  <si>
    <t>1. Di chuyển tới màn hình Profile Details 
2. Nhập kí tự hợp lệ vào trường Your Name và các trường còn lại
3. Nhấn nút Submit</t>
  </si>
  <si>
    <t xml:space="preserve">
1. Hiển thị thông báo thay đổi thành công
2. Hệ thống cập nhật thông tin mới</t>
  </si>
  <si>
    <t>Để trống trường "Your Name"</t>
  </si>
  <si>
    <t>1. Di chuyển tới màn hình Profile Details
2. Nhấn vào trường "Your Name"
3. Nhập khoảng trống cho trường Name
4. Các trường khác hợp lệ
5. Nhấn nút Submit</t>
  </si>
  <si>
    <t xml:space="preserve">1. Hiển thị thông báo lỗi dưới trường "Your Name" với nội dung: "Bắt buộc nhập tên"
2. Focus vào trường "Your Name"
</t>
  </si>
  <si>
    <t>1. Di chuyển tới màn hình Profile Details
2. Nhấn vào trường "Your Name"
3. Nhập 1 ký tự hợp lệ vào trường "Your Name"
4. Các trường khác hợp lệ
5. Nhấn nút Submit</t>
  </si>
  <si>
    <t>1. Màn hình hiển thị thông báo : "Đổi tên thành công"</t>
  </si>
  <si>
    <t>1. Di chuyển tới màn hình Profile Details
2. Nhấn vào trường "Your Name"
3. Nhập 51 ký tự hợp lệ vào trường "Your Name"
4. Các trường khác hợp lệ
5. Nhấn nút Submit</t>
  </si>
  <si>
    <t xml:space="preserve">
1. Hiển thị thông báo lỗi dưới trường "Your Name" với nội dung :
 "Hệ thống không cho phép nhập quá 50 ký tự "
2. Focus vào trường "Your Name"</t>
  </si>
  <si>
    <t>1. Di chuyển tới màn hình Profile Details
2. Nhấn vào trường "Your Name"
3. Nhập 50 ký tự hợp lệ vào trường "Your Name"
4. Các trường khác hợp lệ
5. Nhấn nút Submit</t>
  </si>
  <si>
    <t>Nhập kí tự đặc biệt vào trường "Your Name"</t>
  </si>
  <si>
    <t>1. Di chuyển tới màn hình Profile Details
2. Nhấn vào trường "Your Name"
3. Nhập tự đặc biệt vào trường "Your Name". VD (%,&amp;,$,..)
4. Các trường khác hợp lệ
5. Nhấn nút Submit</t>
  </si>
  <si>
    <t xml:space="preserve">
1. Hiển thị thông báo lỗi dưới trường "Your Name" với nội dung :
 "Không được nhập kí tự đặc biệt "
2. Focus vào trường "Your Name"</t>
  </si>
  <si>
    <t>Chỉ chứa kí tự số</t>
  </si>
  <si>
    <t>1. Di chuyển tới màn hình Profile Details
2. Nhấn vào trường "Your Name"
3. Nhập toàn số vào trường "Your Name"
4. Các trường khác hợp lệ
5. Nhấn nút Submit</t>
  </si>
  <si>
    <t>1. Hiển thị thông báo lỗi với nội dung: "Tên phải chứa chữ cái".
2. Hệ thống không cập nhật tên mới</t>
  </si>
  <si>
    <t xml:space="preserve">Nhập khoảng trống vào trước/sau tên </t>
  </si>
  <si>
    <t>1. Di chuyển tới màn hình Profile Details
2. Nhấn vào trường "Your Name"
3. Nhập space vào trước và sau text trên field "Họ tên" .
Ví dụ : "   Dang Anh       "
4. Các trường khác hợp lệ
5. Nhấn nút Submit</t>
  </si>
  <si>
    <t xml:space="preserve">
1. Màn hình hiển thị thông báo : "Đổi tên thành công"
&gt;&gt; Hệ thống sẽ tự động loại bỏ khoảng trắng trước /sau dữ liệu vừa nhập và lưu thành công vào trong DB</t>
  </si>
  <si>
    <t>Chưa tự động xóa khoảng trống</t>
  </si>
  <si>
    <t>Function testing Profile Details</t>
  </si>
  <si>
    <t>Nút trở lại</t>
  </si>
  <si>
    <t>Trở lại thành công</t>
  </si>
  <si>
    <t>1. Di chuyển tới màn hình Profile Details
2. Nhấn chuột vào nút trở lại</t>
  </si>
  <si>
    <t>1. Màn hình di chuyển tới màn Account</t>
  </si>
  <si>
    <t>chỉ hiện thông báo chung, chưa hiện thông báo dưới trường lỗi</t>
  </si>
  <si>
    <t>Nút Submit</t>
  </si>
  <si>
    <t>Submit không thành công</t>
  </si>
  <si>
    <t>1. Di chuyển tới màn hình Profile Details
2. Nhập sai một trong các trường của Profile Details
3. Nhấn chuột vào nút "Submit"</t>
  </si>
  <si>
    <t>1. Hiển thị thông báo lỗi dưới mỗi trường trong màn Profile Details</t>
  </si>
  <si>
    <t>Submit thành công</t>
  </si>
  <si>
    <t>1. Di chuyển tới màn hình Profile Details
2. Nhập hợp lệ các trường của Profile Details
3. Nhấn chuột vào nút "Submit"</t>
  </si>
  <si>
    <t>1. Hiển thị thông báo "Thay đổi thông tin thành công".</t>
  </si>
  <si>
    <t>Quản lý từ điển</t>
  </si>
  <si>
    <t>&lt;Từ điển&gt;</t>
  </si>
  <si>
    <t xml:space="preserve">Your dictionary </t>
  </si>
  <si>
    <t xml:space="preserve">Kiểm tra UI </t>
  </si>
  <si>
    <t>Your Dictionary</t>
  </si>
  <si>
    <t>1. Người dùng đã có và đã đăng nhập vào tài khoản
2. Đã truy cập sách và lưu từ điển 
(lưu bằng cách nhấn giữ vào từ muốn lưu, sau đó chọn save)</t>
  </si>
  <si>
    <t>Kiểm tra giao diện khi đã thêm một số từ điển</t>
  </si>
  <si>
    <t xml:space="preserve">1. Di chuyển tới màn hình Account
2. Mở Your Dictionary
</t>
  </si>
  <si>
    <t xml:space="preserve">
1. Màn hình thể hiện rõ màn hình Your Dictionary  
2. Hiển thị danh sách từ điển theo hai cột, thứ tự từ trên xuống dưới, từ trái qua phải</t>
  </si>
  <si>
    <t>23/01/2024</t>
  </si>
  <si>
    <t>Kiểm tra giao diện khi chưa có từ điển</t>
  </si>
  <si>
    <t xml:space="preserve">
1. Màn hình thể hiện rõ màn hình Your Dictionary  
2. Hiển thị thông báo Not words found </t>
  </si>
  <si>
    <t>1. Mở giao diện nghĩa của từ
2. Đã tồn tại từ điển trong Your Dictionary</t>
  </si>
  <si>
    <t>Kiểm tra giao diện nghĩa của từ</t>
  </si>
  <si>
    <t xml:space="preserve">1. Di chuyển tới màn hình Account
2. Mở Your Dictionary
3. Ấn vào từ điển
</t>
  </si>
  <si>
    <t>1. Màn hình hiển thị rõ màn nghĩa của từ
2. Biểu mẫu hiển thị:
-  word
- meaning
- example
- nút delete
- nút details</t>
  </si>
  <si>
    <t>Từ  điển</t>
  </si>
  <si>
    <t>1. Người dùng đã có và đã đăng nhập vào tài khoản
2. Đã tồn tại từ điển trong Your Dictionary</t>
  </si>
  <si>
    <t xml:space="preserve">Kiểm tra hiển thị khi ấn vào từ </t>
  </si>
  <si>
    <t xml:space="preserve">1. Di chuyển tới màn hình Account
2. Mở Your Dictionary
3. Ấn vào từ điển
4. Quan sát hiển thị
</t>
  </si>
  <si>
    <t xml:space="preserve">
1. Chuyển tới màn nghĩa của từ</t>
  </si>
  <si>
    <t>Kiểm tra nút delete</t>
  </si>
  <si>
    <t xml:space="preserve">1. Di chuyển tới màn hình Account
2. Mở Your Dictionary
3. Ấn vào từ điển
4. Ấn vào nút delete
</t>
  </si>
  <si>
    <t xml:space="preserve">1. Trong danh sách từ điển xóa đi từ được xóa
</t>
  </si>
  <si>
    <t>Kiểm tra nút details</t>
  </si>
  <si>
    <t>1. Di chuyển tới màn hình Account
2. Mở Your Dictionary
3. Ấn vào từ điển
4. Ấn vào nút details</t>
  </si>
  <si>
    <t xml:space="preserve">1. Màn hình chuyển tời giao diện chi tiết về từ được chọn </t>
  </si>
  <si>
    <t>Quản lý mục tiêu</t>
  </si>
  <si>
    <t>&lt;Mục tiêu&gt;</t>
  </si>
  <si>
    <t xml:space="preserve">Challenge  </t>
  </si>
  <si>
    <t xml:space="preserve">Home Challenge </t>
  </si>
  <si>
    <t>1. Người dùng đã có và đã đăng nhập vào tài khoản
2. Người dùng chưa tạo Challenge nào</t>
  </si>
  <si>
    <t xml:space="preserve">Kiểm tra màn hình chính tại Challenge </t>
  </si>
  <si>
    <t>1. Di chuyển tới màn hình Challenge
2. Quan sát hiển thị</t>
  </si>
  <si>
    <t xml:space="preserve">
1. Màn hình chỉ hiện đúng nút Create new ở góc Phải trên màn hình và Title Challenge</t>
  </si>
  <si>
    <t>1. Người dùng đã có và đã đăng nhập vào tài khoản
2. Người dùng đã tạo Challenge nào</t>
  </si>
  <si>
    <t xml:space="preserve">
1. Màn hình hiện nút Create new ở góc Phải trên màn hình và Title Challenge
2. Hiển thị các Challeng từ trên xuống dưới theo thứ tự tạo.</t>
  </si>
  <si>
    <t>Create new</t>
  </si>
  <si>
    <t xml:space="preserve">1. Người dùng đã có và đã đăng nhập vào tài khoản
</t>
  </si>
  <si>
    <t>Kiểm tra màn hình khi bấm Create New</t>
  </si>
  <si>
    <t>1. Bấm vào Create new
2. Quan sát hiển thị</t>
  </si>
  <si>
    <t xml:space="preserve">1. Màn hình hiển thị ra biểu mẫu gồm:
- nút trở lại
- Title "Add goal for a Challenge" 
- Trường title của challenge mới
- Trường Description
- Trường ngày bắt đầu
- Trường ngày kết thúc
- Trường target
- Nút Create new a challenge </t>
  </si>
  <si>
    <t>Chưa hiển thị được cho người dùng biết đâu là ngày bắt đầu và ngày kết thúc. Mặc dù nhìn vào vẫn có thể đoán ở trên sẽ là trước và dưới sẽ là sau, nhưng biểu thị cho người dùng biết, ví dụ placeholder</t>
  </si>
  <si>
    <t>Challenge</t>
  </si>
  <si>
    <t>Kiểm tra màn hình khi bấm vào Challenge</t>
  </si>
  <si>
    <t>1. Bấm vào một Challenge bất kì
2. Quan sát hiển thị</t>
  </si>
  <si>
    <t xml:space="preserve">1. Màn hình hiển thị ra biểu mẫu gồm:
- nút trở lại
- Title "Add goal for a Challenge" 
- Trường title của challenge đã được nhập trước đó
- Trường Description đã được nhập trước đó
- Trường ngày bắt đầu đã được nhập trước đó
- Trường ngày kết thúc đã được nhập trước đó
- Trường target đã được nhập trước đó
- Nút Delete
- Nút Update challenge </t>
  </si>
  <si>
    <t>Kiểm tra validate</t>
  </si>
  <si>
    <t>Kiểm tra Create new</t>
  </si>
  <si>
    <t>Để trống trường title</t>
  </si>
  <si>
    <t>1. Để trống hoặc nhập khoảng trống vào trường title
2. Nhập hợp lệ các trường còn lại
3. Nhấn nút Create new a challenge</t>
  </si>
  <si>
    <t>1. Màn hình hiển thị thông báo lỗi và yêu cầu người dùng nhập đúng trường title</t>
  </si>
  <si>
    <t>Để trống trường Description</t>
  </si>
  <si>
    <t>1. Để trống hoặc nhập khoảng trống vào trường Description
2. Nhập hợp lệ các trường còn lại
3. Nhấn nút Create new a challenge</t>
  </si>
  <si>
    <t>1. Hiển thị thông báo tạo challenge thành công</t>
  </si>
  <si>
    <t>Để trống trường Target</t>
  </si>
  <si>
    <t>1. Màn hình hiển thị thông báo lỗi và yêu cầu người dùng nhập đúng trường Taget</t>
  </si>
  <si>
    <t>Kiểm tra tính hợp lệ của ngày bắt đầu và kết thúc</t>
  </si>
  <si>
    <t>Chọn ngày bắt đầu sau ngày kết thúc
VD: ngày bắt đầu 5/12/2023 và ngày kết thúc 5/2/2024</t>
  </si>
  <si>
    <t>Màn hình thông báo lỗi và yêu cầu người dùng nhập đúng khoảng thời gian</t>
  </si>
  <si>
    <t>Update Challenge</t>
  </si>
  <si>
    <t>Funcion testing</t>
  </si>
  <si>
    <t>Kiểm tra nút trở lại</t>
  </si>
  <si>
    <t>1. Di chuyển tới Challenge
2. Bấm vào create new
3. Bấm nút trở lại</t>
  </si>
  <si>
    <t>Màn hình sẽ di chuyển tới Home Challenge</t>
  </si>
  <si>
    <t>Nút Create new for a challenge</t>
  </si>
  <si>
    <t xml:space="preserve">Kiểm tra </t>
  </si>
  <si>
    <t>1. Di chuyển tới Challenge
2. Bấm vào create new
3. Bấm nút Create new for a challenge</t>
  </si>
  <si>
    <t>Hiển thị các thông báo lỗi, nếu không thì hiển thị thông báo tạo thành công</t>
  </si>
  <si>
    <t>Delete</t>
  </si>
  <si>
    <t>Nút Delete</t>
  </si>
  <si>
    <t>Kiểm tra</t>
  </si>
  <si>
    <t>1. Di chuyển tới Challenge
2. Bấm vào challenge bất kì
3. Bấm nút Delete</t>
  </si>
  <si>
    <t>1. Màn hình hiển thị thông báo xác nhận về việc xóa
2. Thực thi: 
- Đồng ý: xóa và trở lại Home Challenge
- Không đồng ý: quay lại màn hình của Challenge đó</t>
  </si>
  <si>
    <t>1. Hiển thị thông báo lỗi khi người dùng chưa thay đổi thông tin trong các trường
2. Hiển thị thông báo update thành công khi người dùng đã thay đổi thông tin</t>
  </si>
  <si>
    <t>Quản lý Thư viện</t>
  </si>
  <si>
    <t>&lt;Thư viện&gt;</t>
  </si>
  <si>
    <t>Library</t>
  </si>
  <si>
    <t>Người dùng đã có tài khoản và đã đăng nhập
Đã lưu một số sách vào thư viện</t>
  </si>
  <si>
    <t>Kiểm tra giao diện của Library</t>
  </si>
  <si>
    <t xml:space="preserve">1.Truy cập vào ứng dụng
2. Di chuyển tới màn Library
</t>
  </si>
  <si>
    <t>1. Màn hỉnh hiển thị rõ mà Library
2. Biểu mẫu Library bao gồm:
- Tiêu đề My Library
- Các nút :
                + Saved Books
                + In Process
                + Complete
3. Các danh mục sách đã được lưu theo thứ tự từ trái qua phải, từ trên xuống dưới</t>
  </si>
  <si>
    <t xml:space="preserve">Người dùng đã có tài khoản và đã đăng nhập
</t>
  </si>
  <si>
    <t>1.Truy cập vào ứng dụng
2. Di chuyển tới màn Library</t>
  </si>
  <si>
    <t xml:space="preserve">1. Màn hỉnh hiển thị rõ mà Library
2. Biểu mẫu Library bao gồm:
- Tiêu đề My Library
- Các nút :
                + Saved Books
                + In Process
                + Complete
</t>
  </si>
  <si>
    <t>Saved Books</t>
  </si>
  <si>
    <t>Kiểm tra giao diện Saved Books</t>
  </si>
  <si>
    <t>1.Truy cập vào ứng dụng
2. Di chuyển tới màn Library
3. Bấm vào Saved Books</t>
  </si>
  <si>
    <t>1. Hiển thị My Library
2. Biểu mẫu Saved Bookd bao gồm các danh mục sách đã lưu</t>
  </si>
  <si>
    <t>In Process</t>
  </si>
  <si>
    <t>Kiểm tra giao diện In Process</t>
  </si>
  <si>
    <t>1.Truy cập vào ứng dụng
2. Di chuyển tới màn Library
3. Bấm vào In Process</t>
  </si>
  <si>
    <t xml:space="preserve">1. Hiển thị My Library
</t>
  </si>
  <si>
    <t>Người dùng đã có tài khoản và đã đăng nhập
Đã đọc ít nhất một sách</t>
  </si>
  <si>
    <t>1. Hiển thị My Library
2. Hiển thị những quyển sách đang đọc và đã đọc, dù chưa lưu</t>
  </si>
  <si>
    <t>Nút Saved Books</t>
  </si>
  <si>
    <t>Kiểm tra nút Saved Books</t>
  </si>
  <si>
    <t>Chuyển tới giao diện Saved Books</t>
  </si>
  <si>
    <t>Nút Process</t>
  </si>
  <si>
    <t>Kiểm tra nút Process</t>
  </si>
  <si>
    <t>Chuyển tới giao diện In Process</t>
  </si>
  <si>
    <t>Nút lưu sách</t>
  </si>
  <si>
    <t>Kiểm tra nút lưu sách</t>
  </si>
  <si>
    <t>1.Truy cập vào ứng dụng
2. Chọn một cuốn sách bất kì
3. Bấm vào nút Lưu</t>
  </si>
  <si>
    <t>1. Nút lưu chuyển thành màu trắng
2. Lưu sách vào thư viện</t>
  </si>
  <si>
    <t>Khi thoát ra khỏi cuốn sách đó, nút lưu được reset về ban đầu</t>
  </si>
  <si>
    <t>&lt;Tìm kiếm&gt;</t>
  </si>
  <si>
    <t>Explore</t>
  </si>
  <si>
    <t>Thanh tìm kiếm</t>
  </si>
  <si>
    <t>Kiểm tra validate của các trường trong màn Product Details</t>
  </si>
  <si>
    <t>Kiểm tra placehoder</t>
  </si>
  <si>
    <t>1. Di chuyển tới màn hình Explore
2. Nhập nội dung vào thanh tìm kiếm 
3. Nhấn Enter</t>
  </si>
  <si>
    <t xml:space="preserve">
1. Placehoder "Title, author or keywords" biến mất.
2. Hiện nội dung nhập vào trên thanh tìm kiếm </t>
  </si>
  <si>
    <t>Tìm kiếm từ khóa tồn tại</t>
  </si>
  <si>
    <t>1. Di chuyển tới màn hình Explore
2. Nhập từ khóa có trong DB vào thanh tìm kiếm 
3. Nhấn Enter</t>
  </si>
  <si>
    <t>1. Hiển thị các danh mục có chứa từ khóa đã nhập</t>
  </si>
  <si>
    <t>Tìm từ khóa không tồn tại</t>
  </si>
  <si>
    <t>1. Di chuyển tới màn hình Explore
2. Nhập từ khóa không có trong DB vào thanh tìm kiếm 
3. Nhấn Enter</t>
  </si>
  <si>
    <t>1. Không hiển thị danh mục nào
2. Hiển thị thông báo: "Không tìm thấy kết quả"</t>
  </si>
  <si>
    <t>Tìm từ khóa rỗng</t>
  </si>
  <si>
    <t>1. Di chuyển tới màn hình Explore
2. Không nhập nội dung vào thanh tìm kiếm 
3. Nhấn Enter</t>
  </si>
  <si>
    <t>1. Hiển thị tất cả các danh mục</t>
  </si>
  <si>
    <t>Tìm kiếm từ khóa có nhiều kết quả</t>
  </si>
  <si>
    <t>1. Di chuyển tới màn hình Explore
2. Nhập từ khóa chung có nhiều kết quả vào thanh tìm kiếm 
3. Nhấn Enter</t>
  </si>
  <si>
    <t>1. Hiển thị những danh mục có chứa từ khóa đó</t>
  </si>
  <si>
    <t xml:space="preserve">Topics </t>
  </si>
  <si>
    <t>Topics</t>
  </si>
  <si>
    <t>Kiểm tra các topics</t>
  </si>
  <si>
    <t>1. Di chuyển tới màn hình Explore
2. Nhấn vào một trong các số topic</t>
  </si>
  <si>
    <t>1. Hiển thị những danh mục có chứa nội dung trong topic đó</t>
  </si>
  <si>
    <t>Kiểm tra số lượng topics</t>
  </si>
  <si>
    <t>1. Di chuyển tới màn hình Explore
2. Quan sát số lượng topics</t>
  </si>
  <si>
    <t xml:space="preserve">1. Số lượng topics bằng so với ban đầu </t>
  </si>
  <si>
    <t>Quản lý thư viện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</si>
</sst>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Arial"/>
      <family val="2"/>
      <scheme val="minor"/>
    </font>
    <font>
      <u/>
      <sz val="11"/>
      <color theme="10"/>
      <name val="Arial"/>
      <family val="2"/>
      <scheme val="minor"/>
    </font>
    <font>
      <sz val="12"/>
      <name val="Times New Roman"/>
      <family val="1"/>
    </font>
    <font>
      <b/>
      <sz val="20"/>
      <color rgb="FF0000FF"/>
      <name val="Times New Roman"/>
      <family val="1"/>
    </font>
    <font>
      <b/>
      <sz val="12"/>
      <color rgb="FF0000FF"/>
      <name val="Times New Roman"/>
      <family val="1"/>
    </font>
    <font>
      <b/>
      <sz val="11"/>
      <color rgb="FF0000FF"/>
      <name val="Times New Roman"/>
      <family val="1"/>
    </font>
    <font>
      <sz val="12"/>
      <color rgb="FF000000"/>
      <name val="Times New Roman"/>
      <family val="1"/>
    </font>
    <font>
      <b/>
      <sz val="14"/>
      <color rgb="FFFFFFFF"/>
      <name val="Times New Roman"/>
      <family val="1"/>
    </font>
    <font>
      <sz val="11"/>
      <color rgb="FF000000"/>
      <name val="Times New Roman"/>
      <family val="1"/>
    </font>
    <font>
      <b/>
      <sz val="16"/>
      <color rgb="FF0000FF"/>
      <name val="Times New Roman"/>
      <family val="1"/>
    </font>
    <font>
      <b/>
      <sz val="14"/>
      <color rgb="FF0000FF"/>
      <name val="Times New Roman"/>
      <family val="1"/>
    </font>
    <font>
      <sz val="9"/>
      <color rgb="FF000000"/>
      <name val="Tahoma"/>
      <family val="2"/>
    </font>
    <font>
      <b/>
      <sz val="9"/>
      <color rgb="FF000000"/>
      <name val="Tahoma"/>
      <family val="2"/>
    </font>
    <font>
      <b/>
      <sz val="12"/>
      <color rgb="FF000000"/>
      <name val="Times New Roman"/>
      <family val="1"/>
    </font>
    <font>
      <b/>
      <sz val="14"/>
      <color rgb="FF000000"/>
      <name val="Times New Roman"/>
      <family val="1"/>
    </font>
    <font>
      <sz val="11"/>
      <color rgb="FF000000"/>
      <name val="Arial"/>
      <family val="2"/>
      <scheme val="minor"/>
    </font>
    <font>
      <sz val="12"/>
      <color theme="1"/>
      <name val="Times New Roman"/>
      <family val="1"/>
    </font>
    <font>
      <b/>
      <sz val="14"/>
      <color theme="1"/>
      <name val="Times New Roman"/>
      <family val="1"/>
    </font>
    <font>
      <b/>
      <sz val="14"/>
      <color rgb="FFEA4335"/>
      <name val="Times New Roman"/>
      <family val="1"/>
    </font>
    <font>
      <b/>
      <sz val="12"/>
      <color theme="1"/>
      <name val="Times New Roman"/>
      <family val="1"/>
    </font>
    <font>
      <b/>
      <sz val="16"/>
      <color rgb="FFFF0000"/>
      <name val="Times New Roman"/>
      <family val="1"/>
    </font>
    <font>
      <sz val="16"/>
      <color rgb="FFFF0000"/>
      <name val="Times New Roman"/>
      <family val="1"/>
    </font>
    <font>
      <sz val="12"/>
      <color theme="1"/>
      <name val="Arial"/>
      <family val="2"/>
      <scheme val="minor"/>
    </font>
    <font>
      <sz val="12"/>
      <color rgb="FF000000"/>
      <name val="Times New Roman"/>
      <family val="1"/>
      <charset val="1"/>
    </font>
    <font>
      <b/>
      <sz val="16"/>
      <color rgb="FF000000"/>
      <name val="Times New Roman"/>
      <family val="1"/>
    </font>
    <font>
      <sz val="16"/>
      <color rgb="FF000000"/>
      <name val="Times New Roman"/>
      <family val="1"/>
    </font>
    <font>
      <b/>
      <sz val="12"/>
      <color rgb="FFFF0000"/>
      <name val="Times New Roman"/>
      <family val="1"/>
    </font>
    <font>
      <b/>
      <sz val="11"/>
      <color rgb="FF000000"/>
      <name val="Times New Roman"/>
      <family val="1"/>
    </font>
    <font>
      <b/>
      <sz val="11"/>
      <color theme="1"/>
      <name val="Times New Roman"/>
      <family val="1"/>
    </font>
    <font>
      <b/>
      <sz val="11"/>
      <color theme="1"/>
      <name val="Arial"/>
      <family val="2"/>
      <scheme val="minor"/>
    </font>
    <font>
      <b/>
      <sz val="11"/>
      <color rgb="FF000000"/>
      <name val="Arial"/>
      <scheme val="minor"/>
    </font>
    <font>
      <b/>
      <sz val="11"/>
      <color rgb="FF000000"/>
      <name val="Times New Roman"/>
    </font>
    <font>
      <b/>
      <sz val="11"/>
      <color rgb="FFFF0000"/>
      <name val="Times New Roman"/>
      <family val="1"/>
    </font>
    <font>
      <sz val="11"/>
      <color theme="1"/>
      <name val="Times New Roman"/>
      <family val="1"/>
    </font>
    <font>
      <b/>
      <sz val="16"/>
      <color theme="1"/>
      <name val="Times New Roman"/>
      <family val="1"/>
    </font>
    <font>
      <sz val="16"/>
      <color theme="1"/>
      <name val="Times New Roman"/>
      <family val="1"/>
    </font>
    <font>
      <b/>
      <sz val="11"/>
      <color rgb="FFFF0000"/>
      <name val="Times New Roman"/>
    </font>
    <font>
      <b/>
      <sz val="11"/>
      <name val="Times New Roman"/>
      <family val="1"/>
    </font>
  </fonts>
  <fills count="17">
    <fill>
      <patternFill patternType="none"/>
    </fill>
    <fill>
      <patternFill patternType="gray125"/>
    </fill>
    <fill>
      <patternFill patternType="solid">
        <fgColor rgb="FFCCFFCC"/>
        <bgColor rgb="FF000000"/>
      </patternFill>
    </fill>
    <fill>
      <patternFill patternType="solid">
        <fgColor rgb="FFFFFFFF"/>
        <bgColor rgb="FF000000"/>
      </patternFill>
    </fill>
    <fill>
      <patternFill patternType="solid">
        <fgColor rgb="FF92D050"/>
        <bgColor rgb="FF000000"/>
      </patternFill>
    </fill>
    <fill>
      <patternFill patternType="solid">
        <fgColor rgb="FFFFFFFF"/>
        <bgColor rgb="FFFFFFCC"/>
      </patternFill>
    </fill>
    <fill>
      <patternFill patternType="solid">
        <fgColor rgb="FFFFFFFF"/>
        <bgColor rgb="FFFFFFFF"/>
      </patternFill>
    </fill>
    <fill>
      <patternFill patternType="solid">
        <fgColor rgb="FFCCFFCC"/>
        <bgColor rgb="FFCCFFCC"/>
      </patternFill>
    </fill>
    <fill>
      <patternFill patternType="solid">
        <fgColor theme="0"/>
        <bgColor indexed="64"/>
      </patternFill>
    </fill>
    <fill>
      <patternFill patternType="solid">
        <fgColor theme="0"/>
        <bgColor rgb="FF000000"/>
      </patternFill>
    </fill>
    <fill>
      <patternFill patternType="solid">
        <fgColor rgb="FF9CC2E5"/>
        <bgColor rgb="FF000000"/>
      </patternFill>
    </fill>
    <fill>
      <patternFill patternType="solid">
        <fgColor rgb="FFFFFF00"/>
        <bgColor indexed="64"/>
      </patternFill>
    </fill>
    <fill>
      <patternFill patternType="solid">
        <fgColor rgb="FFFFFF00"/>
        <bgColor rgb="FF000000"/>
      </patternFill>
    </fill>
    <fill>
      <patternFill patternType="solid">
        <fgColor rgb="FFFFFFFF"/>
        <bgColor indexed="64"/>
      </patternFill>
    </fill>
    <fill>
      <patternFill patternType="solid">
        <fgColor rgb="FF92D050"/>
        <bgColor indexed="64"/>
      </patternFill>
    </fill>
    <fill>
      <patternFill patternType="solid">
        <fgColor rgb="FF00B0F0"/>
        <bgColor indexed="64"/>
      </patternFill>
    </fill>
    <fill>
      <patternFill patternType="solid">
        <fgColor theme="7" tint="0.39997558519241921"/>
        <bgColor indexed="64"/>
      </patternFill>
    </fill>
  </fills>
  <borders count="65">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rgb="FF000000"/>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top/>
      <bottom style="thin">
        <color rgb="FF000000"/>
      </bottom>
      <diagonal/>
    </border>
    <border>
      <left/>
      <right/>
      <top style="thin">
        <color rgb="FF000000"/>
      </top>
      <bottom/>
      <diagonal/>
    </border>
    <border>
      <left style="thin">
        <color indexed="64"/>
      </left>
      <right/>
      <top style="thin">
        <color indexed="64"/>
      </top>
      <bottom style="thin">
        <color rgb="FF000000"/>
      </bottom>
      <diagonal/>
    </border>
    <border>
      <left/>
      <right style="thin">
        <color rgb="FF000000"/>
      </right>
      <top style="thin">
        <color rgb="FF000000"/>
      </top>
      <bottom style="thin">
        <color indexed="64"/>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style="thin">
        <color indexed="64"/>
      </top>
      <bottom style="thin">
        <color rgb="FF000000"/>
      </bottom>
      <diagonal/>
    </border>
    <border>
      <left/>
      <right style="thin">
        <color indexed="64"/>
      </right>
      <top/>
      <bottom/>
      <diagonal/>
    </border>
    <border>
      <left/>
      <right style="thin">
        <color indexed="64"/>
      </right>
      <top style="thin">
        <color indexed="64"/>
      </top>
      <bottom style="thin">
        <color rgb="FF000000"/>
      </bottom>
      <diagonal/>
    </border>
    <border>
      <left style="thin">
        <color indexed="64"/>
      </left>
      <right/>
      <top/>
      <bottom/>
      <diagonal/>
    </border>
    <border>
      <left style="thin">
        <color indexed="64"/>
      </left>
      <right/>
      <top/>
      <bottom style="thin">
        <color rgb="FF000000"/>
      </bottom>
      <diagonal/>
    </border>
    <border>
      <left style="thin">
        <color rgb="FF000000"/>
      </left>
      <right style="thin">
        <color rgb="FF000000"/>
      </right>
      <top/>
      <bottom style="thin">
        <color indexed="64"/>
      </bottom>
      <diagonal/>
    </border>
    <border>
      <left style="thin">
        <color rgb="FF000000"/>
      </left>
      <right/>
      <top/>
      <bottom style="thin">
        <color indexed="64"/>
      </bottom>
      <diagonal/>
    </border>
    <border>
      <left/>
      <right style="thin">
        <color rgb="FF000000"/>
      </right>
      <top/>
      <bottom style="thin">
        <color indexed="64"/>
      </bottom>
      <diagonal/>
    </border>
    <border>
      <left style="thin">
        <color rgb="FF000000"/>
      </left>
      <right/>
      <top style="thin">
        <color indexed="64"/>
      </top>
      <bottom style="thin">
        <color indexed="64"/>
      </bottom>
      <diagonal/>
    </border>
    <border>
      <left style="thin">
        <color rgb="FF000000"/>
      </left>
      <right style="thin">
        <color indexed="64"/>
      </right>
      <top style="thin">
        <color rgb="FF000000"/>
      </top>
      <bottom/>
      <diagonal/>
    </border>
    <border>
      <left style="thin">
        <color indexed="64"/>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style="thin">
        <color indexed="64"/>
      </top>
      <bottom/>
      <diagonal/>
    </border>
    <border>
      <left style="thin">
        <color indexed="64"/>
      </left>
      <right style="thin">
        <color rgb="FF000000"/>
      </right>
      <top style="thin">
        <color indexed="64"/>
      </top>
      <bottom/>
      <diagonal/>
    </border>
    <border>
      <left style="thin">
        <color rgb="FF000000"/>
      </left>
      <right style="thin">
        <color indexed="64"/>
      </right>
      <top/>
      <bottom style="thin">
        <color indexed="64"/>
      </bottom>
      <diagonal/>
    </border>
    <border>
      <left style="thin">
        <color indexed="64"/>
      </left>
      <right style="thin">
        <color rgb="FF000000"/>
      </right>
      <top/>
      <bottom style="thin">
        <color indexed="64"/>
      </bottom>
      <diagonal/>
    </border>
    <border>
      <left style="thin">
        <color rgb="FF000000"/>
      </left>
      <right style="thin">
        <color indexed="64"/>
      </right>
      <top/>
      <bottom/>
      <diagonal/>
    </border>
    <border>
      <left style="thin">
        <color indexed="64"/>
      </left>
      <right style="thin">
        <color rgb="FF000000"/>
      </right>
      <top style="thin">
        <color indexed="64"/>
      </top>
      <bottom style="thin">
        <color indexed="64"/>
      </bottom>
      <diagonal/>
    </border>
    <border>
      <left/>
      <right style="thin">
        <color rgb="FF000000"/>
      </right>
      <top style="thin">
        <color indexed="64"/>
      </top>
      <bottom style="thin">
        <color indexed="64"/>
      </bottom>
      <diagonal/>
    </border>
    <border>
      <left/>
      <right style="thin">
        <color rgb="FF000000"/>
      </right>
      <top style="thin">
        <color indexed="64"/>
      </top>
      <bottom/>
      <diagonal/>
    </border>
  </borders>
  <cellStyleXfs count="2">
    <xf numFmtId="0" fontId="0" fillId="0" borderId="0"/>
    <xf numFmtId="0" fontId="1" fillId="0" borderId="0" applyNumberFormat="0" applyFill="0" applyBorder="0" applyAlignment="0" applyProtection="0"/>
  </cellStyleXfs>
  <cellXfs count="506">
    <xf numFmtId="0" fontId="0" fillId="0" borderId="0" xfId="0"/>
    <xf numFmtId="0" fontId="2" fillId="0" borderId="0" xfId="0" applyFont="1"/>
    <xf numFmtId="0" fontId="6" fillId="0" borderId="0" xfId="0" applyFont="1"/>
    <xf numFmtId="0" fontId="9" fillId="0" borderId="0" xfId="0" applyFont="1"/>
    <xf numFmtId="0" fontId="10" fillId="0" borderId="0" xfId="0" applyFont="1"/>
    <xf numFmtId="0" fontId="11" fillId="6" borderId="0" xfId="0" applyFont="1" applyFill="1"/>
    <xf numFmtId="0" fontId="12" fillId="6" borderId="0" xfId="0" applyFont="1" applyFill="1"/>
    <xf numFmtId="0" fontId="6" fillId="6" borderId="0" xfId="0" applyFont="1" applyFill="1"/>
    <xf numFmtId="0" fontId="11" fillId="6" borderId="0" xfId="0" applyFont="1" applyFill="1" applyAlignment="1">
      <alignment vertical="center"/>
    </xf>
    <xf numFmtId="0" fontId="6" fillId="0" borderId="0" xfId="0" applyFont="1" applyAlignment="1">
      <alignment vertical="center"/>
    </xf>
    <xf numFmtId="0" fontId="15" fillId="0" borderId="0" xfId="0" applyFont="1"/>
    <xf numFmtId="0" fontId="15" fillId="0" borderId="0" xfId="0" applyFont="1" applyAlignment="1">
      <alignment wrapText="1"/>
    </xf>
    <xf numFmtId="0" fontId="8" fillId="0" borderId="0" xfId="0" applyFont="1"/>
    <xf numFmtId="0" fontId="16" fillId="0" borderId="0" xfId="0" applyFont="1"/>
    <xf numFmtId="0" fontId="14" fillId="0" borderId="5" xfId="0" applyFont="1" applyBorder="1" applyAlignment="1">
      <alignment vertical="center" wrapText="1"/>
    </xf>
    <xf numFmtId="0" fontId="14" fillId="0" borderId="5" xfId="0" applyFont="1" applyBorder="1" applyAlignment="1">
      <alignment horizontal="center" vertical="center" wrapText="1"/>
    </xf>
    <xf numFmtId="0" fontId="14" fillId="3" borderId="5" xfId="0" applyFont="1" applyFill="1" applyBorder="1" applyAlignment="1">
      <alignment horizontal="center" vertical="center" wrapText="1"/>
    </xf>
    <xf numFmtId="0" fontId="14" fillId="0" borderId="2" xfId="0" applyFont="1" applyBorder="1" applyAlignment="1">
      <alignment vertical="center" wrapText="1"/>
    </xf>
    <xf numFmtId="0" fontId="8" fillId="0" borderId="1" xfId="0" applyFont="1" applyBorder="1"/>
    <xf numFmtId="0" fontId="6" fillId="0" borderId="1" xfId="0" applyFont="1" applyBorder="1"/>
    <xf numFmtId="0" fontId="16" fillId="0" borderId="1" xfId="0" applyFont="1" applyBorder="1"/>
    <xf numFmtId="0" fontId="14" fillId="10" borderId="5" xfId="0" applyFont="1" applyFill="1" applyBorder="1" applyAlignment="1">
      <alignment horizontal="center" vertical="center" wrapText="1"/>
    </xf>
    <xf numFmtId="0" fontId="13" fillId="10" borderId="5" xfId="0" applyFont="1" applyFill="1" applyBorder="1" applyAlignment="1">
      <alignment horizontal="center" vertical="center" wrapText="1"/>
    </xf>
    <xf numFmtId="0" fontId="22" fillId="0" borderId="0" xfId="0" applyFont="1"/>
    <xf numFmtId="0" fontId="6" fillId="13" borderId="5" xfId="0" applyFont="1" applyFill="1" applyBorder="1" applyAlignment="1">
      <alignment vertical="center" wrapText="1"/>
    </xf>
    <xf numFmtId="0" fontId="4" fillId="2" borderId="12" xfId="0" applyFont="1" applyFill="1" applyBorder="1" applyAlignment="1">
      <alignment horizontal="left" vertical="center"/>
    </xf>
    <xf numFmtId="0" fontId="2" fillId="0" borderId="12" xfId="0" applyFont="1" applyBorder="1" applyAlignment="1">
      <alignment horizontal="left" vertical="center"/>
    </xf>
    <xf numFmtId="0" fontId="2" fillId="0" borderId="12" xfId="0" applyFont="1" applyBorder="1" applyAlignment="1">
      <alignment horizontal="left" vertical="center" wrapText="1"/>
    </xf>
    <xf numFmtId="0" fontId="5" fillId="2" borderId="12" xfId="0" applyFont="1" applyFill="1" applyBorder="1" applyAlignment="1">
      <alignment horizontal="left" vertical="center"/>
    </xf>
    <xf numFmtId="0" fontId="13" fillId="7" borderId="12" xfId="0" applyFont="1" applyFill="1" applyBorder="1" applyAlignment="1">
      <alignment horizontal="center" vertical="center"/>
    </xf>
    <xf numFmtId="0" fontId="6" fillId="0" borderId="12" xfId="0" applyFont="1" applyBorder="1" applyAlignment="1">
      <alignment horizontal="center" vertical="center" wrapText="1"/>
    </xf>
    <xf numFmtId="14" fontId="6" fillId="0" borderId="12" xfId="0" applyNumberFormat="1" applyFont="1" applyBorder="1" applyAlignment="1">
      <alignment horizontal="center" vertical="center" wrapText="1"/>
    </xf>
    <xf numFmtId="0" fontId="25" fillId="13" borderId="5" xfId="0" applyFont="1" applyFill="1" applyBorder="1" applyAlignment="1">
      <alignment vertical="center" wrapText="1"/>
    </xf>
    <xf numFmtId="0" fontId="7" fillId="4" borderId="12" xfId="0" applyFont="1" applyFill="1" applyBorder="1" applyAlignment="1">
      <alignment horizontal="center" vertical="center"/>
    </xf>
    <xf numFmtId="0" fontId="2" fillId="9" borderId="12" xfId="0" applyFont="1" applyFill="1" applyBorder="1" applyAlignment="1">
      <alignment horizontal="center" vertical="center"/>
    </xf>
    <xf numFmtId="0" fontId="16" fillId="0" borderId="12" xfId="0" applyFont="1" applyBorder="1" applyAlignment="1">
      <alignment horizontal="left" vertical="center"/>
    </xf>
    <xf numFmtId="0" fontId="6" fillId="0" borderId="26" xfId="0" applyFont="1" applyBorder="1" applyAlignment="1">
      <alignment horizontal="center" vertical="center" wrapText="1"/>
    </xf>
    <xf numFmtId="0" fontId="26" fillId="0" borderId="4" xfId="0" applyFont="1" applyBorder="1" applyAlignment="1">
      <alignment vertical="center" wrapText="1"/>
    </xf>
    <xf numFmtId="0" fontId="26" fillId="0" borderId="5" xfId="0" applyFont="1" applyBorder="1" applyAlignment="1">
      <alignment vertical="center" wrapText="1"/>
    </xf>
    <xf numFmtId="0" fontId="26" fillId="0" borderId="2" xfId="0" applyFont="1" applyBorder="1" applyAlignment="1">
      <alignment vertical="center" wrapText="1"/>
    </xf>
    <xf numFmtId="0" fontId="19" fillId="0" borderId="5" xfId="0" applyFont="1" applyBorder="1" applyAlignment="1">
      <alignment vertical="center" wrapText="1"/>
    </xf>
    <xf numFmtId="0" fontId="13" fillId="0" borderId="5" xfId="0" applyFont="1" applyBorder="1" applyAlignment="1">
      <alignment vertical="center" wrapText="1"/>
    </xf>
    <xf numFmtId="0" fontId="13" fillId="0" borderId="5" xfId="0" applyFont="1" applyBorder="1" applyAlignment="1">
      <alignment horizontal="center" vertical="center" wrapText="1"/>
    </xf>
    <xf numFmtId="0" fontId="20" fillId="0" borderId="2" xfId="0" applyFont="1" applyBorder="1" applyAlignment="1">
      <alignment vertical="center" wrapText="1"/>
    </xf>
    <xf numFmtId="0" fontId="20" fillId="0" borderId="4" xfId="0" applyFont="1" applyBorder="1" applyAlignment="1">
      <alignment vertical="center" wrapText="1"/>
    </xf>
    <xf numFmtId="0" fontId="13" fillId="0" borderId="13" xfId="0" applyFont="1" applyBorder="1" applyAlignment="1">
      <alignment vertical="center" wrapText="1"/>
    </xf>
    <xf numFmtId="0" fontId="19" fillId="0" borderId="13" xfId="0" applyFont="1" applyBorder="1" applyAlignment="1">
      <alignment vertical="center" wrapText="1"/>
    </xf>
    <xf numFmtId="0" fontId="13" fillId="0" borderId="13" xfId="0" applyFont="1" applyBorder="1" applyAlignment="1">
      <alignment horizontal="center" vertical="center" wrapText="1"/>
    </xf>
    <xf numFmtId="0" fontId="20" fillId="0" borderId="17" xfId="0" applyFont="1" applyBorder="1" applyAlignment="1">
      <alignment vertical="center" wrapText="1"/>
    </xf>
    <xf numFmtId="0" fontId="20" fillId="0" borderId="19" xfId="0" applyFont="1" applyBorder="1" applyAlignment="1">
      <alignment vertical="center" wrapText="1"/>
    </xf>
    <xf numFmtId="0" fontId="13" fillId="0" borderId="24" xfId="0" applyFont="1" applyBorder="1" applyAlignment="1">
      <alignment vertical="center" wrapText="1"/>
    </xf>
    <xf numFmtId="0" fontId="19" fillId="0" borderId="24" xfId="0" applyFont="1" applyBorder="1" applyAlignment="1">
      <alignment vertical="center" wrapText="1"/>
    </xf>
    <xf numFmtId="0" fontId="13" fillId="0" borderId="24" xfId="0" applyFont="1" applyBorder="1" applyAlignment="1">
      <alignment horizontal="center" vertical="center" wrapText="1"/>
    </xf>
    <xf numFmtId="0" fontId="20" fillId="0" borderId="24" xfId="0" applyFont="1" applyBorder="1" applyAlignment="1">
      <alignment vertical="center" wrapText="1"/>
    </xf>
    <xf numFmtId="0" fontId="27" fillId="0" borderId="6" xfId="0" applyFont="1" applyBorder="1" applyAlignment="1">
      <alignment horizontal="left" vertical="top" wrapText="1"/>
    </xf>
    <xf numFmtId="0" fontId="27" fillId="13" borderId="6" xfId="0" applyFont="1" applyFill="1" applyBorder="1" applyAlignment="1">
      <alignment horizontal="left" vertical="top" wrapText="1"/>
    </xf>
    <xf numFmtId="0" fontId="27" fillId="0" borderId="24" xfId="0" applyFont="1" applyBorder="1" applyAlignment="1">
      <alignment horizontal="left" vertical="top" wrapText="1"/>
    </xf>
    <xf numFmtId="0" fontId="27" fillId="13" borderId="6" xfId="0" applyFont="1" applyFill="1" applyBorder="1" applyAlignment="1">
      <alignment vertical="top" wrapText="1"/>
    </xf>
    <xf numFmtId="0" fontId="27" fillId="0" borderId="8" xfId="0" applyFont="1" applyBorder="1" applyAlignment="1">
      <alignment horizontal="left" vertical="top" wrapText="1"/>
    </xf>
    <xf numFmtId="0" fontId="8" fillId="0" borderId="0" xfId="0" applyFont="1" applyAlignment="1">
      <alignment horizontal="left" vertical="top"/>
    </xf>
    <xf numFmtId="0" fontId="27" fillId="13" borderId="8" xfId="0" applyFont="1" applyFill="1" applyBorder="1" applyAlignment="1">
      <alignment horizontal="left" vertical="top" wrapText="1"/>
    </xf>
    <xf numFmtId="0" fontId="0" fillId="0" borderId="0" xfId="0" applyAlignment="1">
      <alignment horizontal="left" vertical="top"/>
    </xf>
    <xf numFmtId="0" fontId="27" fillId="0" borderId="6" xfId="0" applyFont="1" applyBorder="1" applyAlignment="1">
      <alignment vertical="center" wrapText="1"/>
    </xf>
    <xf numFmtId="0" fontId="27" fillId="0" borderId="0" xfId="0" applyFont="1" applyAlignment="1">
      <alignment horizontal="center" vertical="center"/>
    </xf>
    <xf numFmtId="0" fontId="13" fillId="13" borderId="20" xfId="0" applyFont="1" applyFill="1" applyBorder="1" applyAlignment="1">
      <alignment horizontal="center" vertical="center" wrapText="1"/>
    </xf>
    <xf numFmtId="0" fontId="13" fillId="13" borderId="16" xfId="0" applyFont="1" applyFill="1" applyBorder="1" applyAlignment="1">
      <alignment horizontal="center" vertical="center" wrapText="1"/>
    </xf>
    <xf numFmtId="0" fontId="13" fillId="13" borderId="7" xfId="0" applyFont="1" applyFill="1" applyBorder="1" applyAlignment="1">
      <alignment horizontal="center" vertical="center" wrapText="1"/>
    </xf>
    <xf numFmtId="0" fontId="29" fillId="0" borderId="0" xfId="0" applyFont="1" applyAlignment="1">
      <alignment horizontal="center" vertical="center"/>
    </xf>
    <xf numFmtId="0" fontId="13" fillId="13" borderId="28" xfId="0" applyFont="1" applyFill="1" applyBorder="1" applyAlignment="1">
      <alignment horizontal="center" vertical="center" wrapText="1"/>
    </xf>
    <xf numFmtId="0" fontId="13" fillId="13" borderId="6" xfId="0" applyFont="1" applyFill="1" applyBorder="1" applyAlignment="1">
      <alignment horizontal="center" vertical="center" wrapText="1"/>
    </xf>
    <xf numFmtId="0" fontId="27" fillId="0" borderId="0" xfId="0" applyFont="1"/>
    <xf numFmtId="0" fontId="29" fillId="0" borderId="0" xfId="0" applyFont="1"/>
    <xf numFmtId="0" fontId="24" fillId="15" borderId="3" xfId="0" applyFont="1" applyFill="1" applyBorder="1" applyAlignment="1">
      <alignment vertical="center" wrapText="1"/>
    </xf>
    <xf numFmtId="0" fontId="24" fillId="15" borderId="4" xfId="0" applyFont="1" applyFill="1" applyBorder="1" applyAlignment="1">
      <alignment vertical="center" wrapText="1"/>
    </xf>
    <xf numFmtId="0" fontId="20" fillId="0" borderId="25" xfId="0" applyFont="1" applyBorder="1" applyAlignment="1">
      <alignment vertical="center" wrapText="1"/>
    </xf>
    <xf numFmtId="0" fontId="19" fillId="0" borderId="25" xfId="0" applyFont="1" applyBorder="1" applyAlignment="1">
      <alignment vertical="center" wrapText="1"/>
    </xf>
    <xf numFmtId="0" fontId="13" fillId="0" borderId="25" xfId="0" applyFont="1" applyBorder="1" applyAlignment="1">
      <alignment vertical="center" wrapText="1"/>
    </xf>
    <xf numFmtId="0" fontId="13" fillId="0" borderId="25" xfId="0" applyFont="1" applyBorder="1" applyAlignment="1">
      <alignment horizontal="center" vertical="center" wrapText="1"/>
    </xf>
    <xf numFmtId="0" fontId="13" fillId="0" borderId="6" xfId="0" applyFont="1" applyBorder="1" applyAlignment="1">
      <alignment vertical="center" wrapText="1"/>
    </xf>
    <xf numFmtId="0" fontId="19" fillId="0" borderId="6" xfId="0" applyFont="1" applyBorder="1" applyAlignment="1">
      <alignment vertical="center" wrapText="1"/>
    </xf>
    <xf numFmtId="0" fontId="13" fillId="0" borderId="6" xfId="0" applyFont="1" applyBorder="1" applyAlignment="1">
      <alignment horizontal="center" vertical="center" wrapText="1"/>
    </xf>
    <xf numFmtId="0" fontId="20" fillId="0" borderId="6" xfId="0" applyFont="1" applyBorder="1" applyAlignment="1">
      <alignment vertical="center" wrapText="1"/>
    </xf>
    <xf numFmtId="0" fontId="13" fillId="13" borderId="32" xfId="0" applyFont="1" applyFill="1" applyBorder="1" applyAlignment="1">
      <alignment horizontal="center" vertical="center" wrapText="1"/>
    </xf>
    <xf numFmtId="0" fontId="13" fillId="13" borderId="24" xfId="0" applyFont="1" applyFill="1" applyBorder="1" applyAlignment="1">
      <alignment horizontal="center" vertical="center" wrapText="1"/>
    </xf>
    <xf numFmtId="0" fontId="13" fillId="11" borderId="20" xfId="0" applyFont="1" applyFill="1" applyBorder="1" applyAlignment="1">
      <alignment horizontal="center" vertical="center" wrapText="1"/>
    </xf>
    <xf numFmtId="0" fontId="27" fillId="13" borderId="6" xfId="0" applyFont="1" applyFill="1" applyBorder="1" applyAlignment="1">
      <alignment horizontal="left" vertical="center" wrapText="1"/>
    </xf>
    <xf numFmtId="0" fontId="27" fillId="13" borderId="6" xfId="0" applyFont="1" applyFill="1" applyBorder="1" applyAlignment="1">
      <alignment horizontal="center" vertical="center" wrapText="1"/>
    </xf>
    <xf numFmtId="0" fontId="27" fillId="13" borderId="28" xfId="0" applyFont="1" applyFill="1" applyBorder="1" applyAlignment="1">
      <alignment horizontal="center" vertical="center" wrapText="1"/>
    </xf>
    <xf numFmtId="0" fontId="27" fillId="0" borderId="6" xfId="0" applyFont="1" applyBorder="1" applyAlignment="1">
      <alignment vertical="top" wrapText="1"/>
    </xf>
    <xf numFmtId="0" fontId="16" fillId="0" borderId="9" xfId="0" applyFont="1" applyBorder="1" applyAlignment="1">
      <alignment horizontal="left" vertical="center"/>
    </xf>
    <xf numFmtId="0" fontId="27" fillId="13" borderId="7" xfId="0" applyFont="1" applyFill="1" applyBorder="1" applyAlignment="1">
      <alignment horizontal="center" vertical="center" wrapText="1"/>
    </xf>
    <xf numFmtId="0" fontId="13" fillId="8" borderId="27" xfId="0" applyFont="1" applyFill="1" applyBorder="1" applyAlignment="1">
      <alignment horizontal="left" vertical="center" wrapText="1"/>
    </xf>
    <xf numFmtId="0" fontId="6" fillId="0" borderId="24" xfId="0" applyFont="1" applyBorder="1" applyAlignment="1">
      <alignment horizontal="center" vertical="center" wrapText="1"/>
    </xf>
    <xf numFmtId="0" fontId="27" fillId="13" borderId="0" xfId="0" applyFont="1" applyFill="1" applyAlignment="1">
      <alignment horizontal="left" vertical="top" wrapText="1"/>
    </xf>
    <xf numFmtId="0" fontId="27" fillId="13" borderId="31" xfId="0" applyFont="1" applyFill="1" applyBorder="1" applyAlignment="1">
      <alignment horizontal="left" vertical="top" wrapText="1"/>
    </xf>
    <xf numFmtId="0" fontId="13" fillId="0" borderId="19" xfId="0" applyFont="1" applyBorder="1" applyAlignment="1">
      <alignment horizontal="center" vertical="center" wrapText="1"/>
    </xf>
    <xf numFmtId="0" fontId="13" fillId="0" borderId="27" xfId="0" applyFont="1" applyBorder="1" applyAlignment="1">
      <alignment horizontal="center" vertical="center" wrapText="1"/>
    </xf>
    <xf numFmtId="0" fontId="27" fillId="13" borderId="6" xfId="0" applyFont="1" applyFill="1" applyBorder="1" applyAlignment="1">
      <alignment vertical="center" wrapText="1"/>
    </xf>
    <xf numFmtId="0" fontId="27" fillId="13" borderId="37" xfId="0" applyFont="1" applyFill="1" applyBorder="1" applyAlignment="1">
      <alignment horizontal="left" vertical="top" wrapText="1"/>
    </xf>
    <xf numFmtId="0" fontId="13" fillId="13" borderId="38" xfId="0" applyFont="1" applyFill="1" applyBorder="1" applyAlignment="1">
      <alignment horizontal="center" vertical="center" wrapText="1"/>
    </xf>
    <xf numFmtId="0" fontId="14" fillId="15" borderId="3" xfId="0" applyFont="1" applyFill="1" applyBorder="1" applyAlignment="1">
      <alignment horizontal="left" vertical="center" wrapText="1"/>
    </xf>
    <xf numFmtId="0" fontId="14" fillId="10" borderId="13" xfId="0" applyFont="1" applyFill="1" applyBorder="1" applyAlignment="1">
      <alignment horizontal="center" vertical="center" wrapText="1"/>
    </xf>
    <xf numFmtId="0" fontId="14" fillId="10" borderId="16" xfId="0" applyFont="1" applyFill="1" applyBorder="1" applyAlignment="1">
      <alignment horizontal="center" vertical="center" wrapText="1"/>
    </xf>
    <xf numFmtId="0" fontId="14" fillId="10" borderId="20" xfId="0" applyFont="1" applyFill="1" applyBorder="1" applyAlignment="1">
      <alignment horizontal="center" vertical="center" wrapText="1"/>
    </xf>
    <xf numFmtId="0" fontId="27" fillId="0" borderId="24" xfId="0" applyFont="1" applyBorder="1" applyAlignment="1">
      <alignment horizontal="left" vertical="center" wrapText="1"/>
    </xf>
    <xf numFmtId="0" fontId="27" fillId="13" borderId="25" xfId="0" applyFont="1" applyFill="1" applyBorder="1" applyAlignment="1">
      <alignment horizontal="center" vertical="center" wrapText="1"/>
    </xf>
    <xf numFmtId="0" fontId="13" fillId="0" borderId="0" xfId="0" applyFont="1" applyAlignment="1">
      <alignment vertical="center" wrapText="1"/>
    </xf>
    <xf numFmtId="0" fontId="19" fillId="0" borderId="0" xfId="0" applyFont="1" applyAlignment="1">
      <alignment vertical="center" wrapText="1"/>
    </xf>
    <xf numFmtId="0" fontId="13" fillId="0" borderId="0" xfId="0" applyFont="1" applyAlignment="1">
      <alignment horizontal="center" vertical="center" wrapText="1"/>
    </xf>
    <xf numFmtId="0" fontId="20" fillId="0" borderId="0" xfId="0" applyFont="1" applyAlignment="1">
      <alignment vertical="center" wrapText="1"/>
    </xf>
    <xf numFmtId="0" fontId="27" fillId="13" borderId="30" xfId="0" applyFont="1" applyFill="1" applyBorder="1" applyAlignment="1">
      <alignment horizontal="center" vertical="center" wrapText="1"/>
    </xf>
    <xf numFmtId="0" fontId="27" fillId="13" borderId="31" xfId="0" applyFont="1" applyFill="1" applyBorder="1" applyAlignment="1">
      <alignment horizontal="center" vertical="center" wrapText="1"/>
    </xf>
    <xf numFmtId="0" fontId="27" fillId="13" borderId="8" xfId="0" applyFont="1" applyFill="1" applyBorder="1" applyAlignment="1">
      <alignment horizontal="center" vertical="center" wrapText="1"/>
    </xf>
    <xf numFmtId="0" fontId="27" fillId="0" borderId="6" xfId="0" applyFont="1" applyBorder="1" applyAlignment="1">
      <alignment horizontal="left" vertical="center" wrapText="1"/>
    </xf>
    <xf numFmtId="0" fontId="13" fillId="0" borderId="39" xfId="0" applyFont="1" applyBorder="1" applyAlignment="1">
      <alignment vertical="center" wrapText="1"/>
    </xf>
    <xf numFmtId="0" fontId="13" fillId="0" borderId="41" xfId="0" applyFont="1" applyBorder="1" applyAlignment="1">
      <alignment vertical="center" wrapText="1"/>
    </xf>
    <xf numFmtId="0" fontId="27" fillId="3" borderId="31" xfId="0" applyFont="1" applyFill="1" applyBorder="1" applyAlignment="1">
      <alignment wrapText="1"/>
    </xf>
    <xf numFmtId="0" fontId="27" fillId="13" borderId="0" xfId="0" applyFont="1" applyFill="1" applyAlignment="1">
      <alignment horizontal="center" vertical="center" wrapText="1"/>
    </xf>
    <xf numFmtId="0" fontId="27" fillId="13" borderId="30" xfId="0" applyFont="1" applyFill="1" applyBorder="1" applyAlignment="1">
      <alignment horizontal="left" vertical="top" wrapText="1"/>
    </xf>
    <xf numFmtId="0" fontId="27" fillId="13" borderId="24" xfId="0" applyFont="1" applyFill="1" applyBorder="1" applyAlignment="1">
      <alignment horizontal="left" vertical="top" wrapText="1"/>
    </xf>
    <xf numFmtId="0" fontId="14" fillId="0" borderId="0" xfId="0" applyFont="1" applyAlignment="1">
      <alignment vertical="center" wrapText="1"/>
    </xf>
    <xf numFmtId="0" fontId="17" fillId="0" borderId="0" xfId="0" applyFont="1"/>
    <xf numFmtId="0" fontId="24" fillId="14" borderId="19" xfId="0" applyFont="1" applyFill="1" applyBorder="1" applyAlignment="1">
      <alignment vertical="center" wrapText="1"/>
    </xf>
    <xf numFmtId="0" fontId="13" fillId="14" borderId="6" xfId="0" applyFont="1" applyFill="1" applyBorder="1" applyAlignment="1">
      <alignment vertical="top" wrapText="1"/>
    </xf>
    <xf numFmtId="0" fontId="13" fillId="8" borderId="8" xfId="0" applyFont="1" applyFill="1" applyBorder="1" applyAlignment="1">
      <alignment horizontal="left" vertical="center" wrapText="1"/>
    </xf>
    <xf numFmtId="0" fontId="13" fillId="8" borderId="6" xfId="0" applyFont="1" applyFill="1" applyBorder="1" applyAlignment="1">
      <alignment vertical="top" wrapText="1"/>
    </xf>
    <xf numFmtId="0" fontId="27" fillId="13" borderId="24" xfId="0" applyFont="1" applyFill="1" applyBorder="1" applyAlignment="1">
      <alignment horizontal="center" vertical="center" wrapText="1"/>
    </xf>
    <xf numFmtId="0" fontId="27" fillId="13" borderId="27" xfId="0" applyFont="1" applyFill="1" applyBorder="1" applyAlignment="1">
      <alignment horizontal="center" vertical="center" wrapText="1"/>
    </xf>
    <xf numFmtId="0" fontId="27" fillId="15" borderId="6" xfId="0" applyFont="1" applyFill="1" applyBorder="1" applyAlignment="1">
      <alignment horizontal="left" vertical="top" wrapText="1"/>
    </xf>
    <xf numFmtId="0" fontId="27" fillId="15" borderId="6" xfId="0" applyFont="1" applyFill="1" applyBorder="1" applyAlignment="1">
      <alignment vertical="top" wrapText="1"/>
    </xf>
    <xf numFmtId="0" fontId="13" fillId="13" borderId="8" xfId="0" applyFont="1" applyFill="1" applyBorder="1" applyAlignment="1">
      <alignment vertical="center" wrapText="1"/>
    </xf>
    <xf numFmtId="0" fontId="27" fillId="0" borderId="27" xfId="0" applyFont="1" applyBorder="1" applyAlignment="1">
      <alignment horizontal="center" vertical="center" wrapText="1"/>
    </xf>
    <xf numFmtId="0" fontId="13" fillId="8" borderId="6" xfId="0" applyFont="1" applyFill="1" applyBorder="1" applyAlignment="1">
      <alignment horizontal="left" vertical="center" wrapText="1"/>
    </xf>
    <xf numFmtId="0" fontId="27" fillId="13" borderId="8" xfId="0" applyFont="1" applyFill="1" applyBorder="1" applyAlignment="1">
      <alignment horizontal="left" vertical="center" wrapText="1"/>
    </xf>
    <xf numFmtId="0" fontId="27" fillId="13" borderId="31" xfId="0" applyFont="1" applyFill="1" applyBorder="1" applyAlignment="1">
      <alignment horizontal="left" vertical="center" wrapText="1"/>
    </xf>
    <xf numFmtId="0" fontId="27" fillId="0" borderId="0" xfId="0" applyFont="1" applyAlignment="1">
      <alignment horizontal="left" vertical="top" wrapText="1"/>
    </xf>
    <xf numFmtId="0" fontId="13" fillId="13" borderId="0" xfId="0" applyFont="1" applyFill="1" applyAlignment="1">
      <alignment horizontal="center" vertical="center" wrapText="1"/>
    </xf>
    <xf numFmtId="0" fontId="27" fillId="13" borderId="0" xfId="0" applyFont="1" applyFill="1" applyAlignment="1">
      <alignment horizontal="left" vertical="center" wrapText="1"/>
    </xf>
    <xf numFmtId="0" fontId="13" fillId="0" borderId="19" xfId="0" applyFont="1" applyBorder="1" applyAlignment="1">
      <alignment vertical="center" wrapText="1"/>
    </xf>
    <xf numFmtId="0" fontId="13" fillId="8" borderId="24" xfId="0" applyFont="1" applyFill="1" applyBorder="1" applyAlignment="1">
      <alignment vertical="top" wrapText="1"/>
    </xf>
    <xf numFmtId="0" fontId="14" fillId="0" borderId="20" xfId="0" applyFont="1" applyBorder="1" applyAlignment="1">
      <alignment horizontal="center" vertical="center" wrapText="1"/>
    </xf>
    <xf numFmtId="0" fontId="13" fillId="0" borderId="7" xfId="0" applyFont="1" applyBorder="1" applyAlignment="1">
      <alignment vertical="center" wrapText="1"/>
    </xf>
    <xf numFmtId="0" fontId="13" fillId="0" borderId="30" xfId="0" applyFont="1" applyBorder="1" applyAlignment="1">
      <alignment horizontal="center" vertical="center" wrapText="1"/>
    </xf>
    <xf numFmtId="0" fontId="14" fillId="3" borderId="13" xfId="0" applyFont="1" applyFill="1" applyBorder="1" applyAlignment="1">
      <alignment horizontal="center" vertical="center" wrapText="1"/>
    </xf>
    <xf numFmtId="0" fontId="14" fillId="3" borderId="0" xfId="0" applyFont="1" applyFill="1" applyAlignment="1">
      <alignment vertical="center" wrapText="1"/>
    </xf>
    <xf numFmtId="0" fontId="27" fillId="0" borderId="24" xfId="0" applyFont="1" applyBorder="1" applyAlignment="1">
      <alignment horizontal="center" vertical="center" wrapText="1"/>
    </xf>
    <xf numFmtId="0" fontId="27" fillId="0" borderId="6" xfId="0" applyFont="1" applyBorder="1" applyAlignment="1">
      <alignment horizontal="center" vertical="center" wrapText="1"/>
    </xf>
    <xf numFmtId="0" fontId="27" fillId="0" borderId="37" xfId="0" applyFont="1" applyBorder="1" applyAlignment="1">
      <alignment horizontal="center" vertical="center" wrapText="1"/>
    </xf>
    <xf numFmtId="0" fontId="27" fillId="0" borderId="26" xfId="0" applyFont="1" applyBorder="1" applyAlignment="1">
      <alignment horizontal="center" vertical="center" wrapText="1"/>
    </xf>
    <xf numFmtId="0" fontId="8" fillId="0" borderId="0" xfId="0" applyFont="1" applyAlignment="1">
      <alignment horizontal="center" vertical="center"/>
    </xf>
    <xf numFmtId="0" fontId="13" fillId="8" borderId="27" xfId="0" applyFont="1" applyFill="1" applyBorder="1" applyAlignment="1">
      <alignment horizontal="center" vertical="center" wrapText="1"/>
    </xf>
    <xf numFmtId="0" fontId="0" fillId="0" borderId="0" xfId="0" applyAlignment="1">
      <alignment horizontal="center" vertical="center"/>
    </xf>
    <xf numFmtId="0" fontId="8" fillId="0" borderId="0" xfId="0" applyFont="1" applyAlignment="1">
      <alignment horizontal="center"/>
    </xf>
    <xf numFmtId="0" fontId="8" fillId="0" borderId="1" xfId="0" applyFont="1" applyBorder="1" applyAlignment="1">
      <alignment horizontal="center"/>
    </xf>
    <xf numFmtId="0" fontId="24" fillId="8" borderId="5" xfId="0" applyFont="1" applyFill="1" applyBorder="1" applyAlignment="1">
      <alignment horizontal="center" vertical="center" wrapText="1"/>
    </xf>
    <xf numFmtId="0" fontId="25" fillId="13" borderId="5" xfId="0" applyFont="1" applyFill="1" applyBorder="1" applyAlignment="1">
      <alignment horizontal="center" vertical="center" wrapText="1"/>
    </xf>
    <xf numFmtId="0" fontId="0" fillId="0" borderId="0" xfId="0" applyAlignment="1">
      <alignment horizontal="center"/>
    </xf>
    <xf numFmtId="0" fontId="27" fillId="0" borderId="0" xfId="0" applyFont="1" applyAlignment="1">
      <alignment horizontal="center" vertical="center" wrapText="1"/>
    </xf>
    <xf numFmtId="0" fontId="26" fillId="0" borderId="5" xfId="0" applyFont="1" applyBorder="1" applyAlignment="1">
      <alignment horizontal="center" vertical="center" wrapText="1"/>
    </xf>
    <xf numFmtId="0" fontId="13" fillId="0" borderId="41" xfId="0" applyFont="1" applyBorder="1" applyAlignment="1">
      <alignment horizontal="center" vertical="center" wrapText="1"/>
    </xf>
    <xf numFmtId="0" fontId="13" fillId="0" borderId="39" xfId="0" applyFont="1" applyBorder="1" applyAlignment="1">
      <alignment horizontal="center" vertical="center" wrapText="1"/>
    </xf>
    <xf numFmtId="0" fontId="13" fillId="0" borderId="28" xfId="0" applyFont="1" applyBorder="1" applyAlignment="1">
      <alignment horizontal="center" vertical="center" wrapText="1"/>
    </xf>
    <xf numFmtId="0" fontId="27" fillId="0" borderId="25" xfId="0" applyFont="1" applyBorder="1" applyAlignment="1">
      <alignment horizontal="center" vertical="center" wrapText="1"/>
    </xf>
    <xf numFmtId="0" fontId="27" fillId="0" borderId="29" xfId="0" applyFont="1" applyBorder="1" applyAlignment="1">
      <alignment horizontal="center" vertical="center" wrapText="1"/>
    </xf>
    <xf numFmtId="0" fontId="27" fillId="13" borderId="32" xfId="0" applyFont="1" applyFill="1" applyBorder="1" applyAlignment="1">
      <alignment horizontal="center" vertical="center" wrapText="1"/>
    </xf>
    <xf numFmtId="0" fontId="27" fillId="0" borderId="24" xfId="0" applyFont="1" applyBorder="1" applyAlignment="1">
      <alignment horizontal="center" vertical="center"/>
    </xf>
    <xf numFmtId="0" fontId="27" fillId="0" borderId="25" xfId="0" applyFont="1" applyBorder="1" applyAlignment="1">
      <alignment horizontal="center" vertical="center"/>
    </xf>
    <xf numFmtId="0" fontId="27" fillId="0" borderId="26" xfId="0" applyFont="1" applyBorder="1" applyAlignment="1">
      <alignment horizontal="center" vertical="center"/>
    </xf>
    <xf numFmtId="0" fontId="27" fillId="13" borderId="26" xfId="0" applyFont="1" applyFill="1" applyBorder="1" applyAlignment="1">
      <alignment horizontal="center" vertical="center" wrapText="1"/>
    </xf>
    <xf numFmtId="0" fontId="6" fillId="0" borderId="0" xfId="0" applyFont="1" applyAlignment="1">
      <alignment horizontal="center"/>
    </xf>
    <xf numFmtId="0" fontId="8" fillId="0" borderId="0" xfId="0" applyFont="1" applyAlignment="1">
      <alignment horizontal="center" wrapText="1"/>
    </xf>
    <xf numFmtId="0" fontId="8" fillId="0" borderId="1" xfId="0" applyFont="1" applyBorder="1" applyAlignment="1">
      <alignment horizontal="center" wrapText="1"/>
    </xf>
    <xf numFmtId="0" fontId="0" fillId="0" borderId="0" xfId="0" applyAlignment="1">
      <alignment horizontal="center" wrapText="1"/>
    </xf>
    <xf numFmtId="0" fontId="24" fillId="8" borderId="24" xfId="0" applyFont="1" applyFill="1" applyBorder="1" applyAlignment="1">
      <alignment horizontal="center" vertical="center" wrapText="1"/>
    </xf>
    <xf numFmtId="0" fontId="24" fillId="8" borderId="19" xfId="0" applyFont="1" applyFill="1" applyBorder="1" applyAlignment="1">
      <alignment vertical="center" wrapText="1"/>
    </xf>
    <xf numFmtId="0" fontId="24" fillId="8" borderId="13" xfId="0" applyFont="1" applyFill="1" applyBorder="1" applyAlignment="1">
      <alignment vertical="center" wrapText="1"/>
    </xf>
    <xf numFmtId="0" fontId="13" fillId="8" borderId="13" xfId="0" applyFont="1" applyFill="1" applyBorder="1" applyAlignment="1">
      <alignment vertical="center" wrapText="1"/>
    </xf>
    <xf numFmtId="0" fontId="13" fillId="8" borderId="6" xfId="0" applyFont="1" applyFill="1" applyBorder="1" applyAlignment="1">
      <alignment horizontal="center" vertical="center" wrapText="1"/>
    </xf>
    <xf numFmtId="0" fontId="19" fillId="0" borderId="6" xfId="0" applyFont="1" applyBorder="1" applyAlignment="1">
      <alignment horizontal="center" vertical="center" wrapText="1"/>
    </xf>
    <xf numFmtId="0" fontId="20" fillId="0" borderId="6" xfId="0" applyFont="1" applyBorder="1" applyAlignment="1">
      <alignment horizontal="center" vertical="center" wrapText="1"/>
    </xf>
    <xf numFmtId="0" fontId="8" fillId="8" borderId="0" xfId="0" applyFont="1" applyFill="1"/>
    <xf numFmtId="0" fontId="0" fillId="8" borderId="0" xfId="0" applyFill="1"/>
    <xf numFmtId="0" fontId="24" fillId="8" borderId="6" xfId="0" applyFont="1" applyFill="1" applyBorder="1" applyAlignment="1">
      <alignment vertical="center" wrapText="1"/>
    </xf>
    <xf numFmtId="0" fontId="13" fillId="10" borderId="13" xfId="0" applyFont="1" applyFill="1" applyBorder="1" applyAlignment="1">
      <alignment horizontal="center" vertical="center" wrapText="1"/>
    </xf>
    <xf numFmtId="0" fontId="24" fillId="8" borderId="20" xfId="0" applyFont="1" applyFill="1" applyBorder="1" applyAlignment="1">
      <alignment horizontal="center" vertical="center" wrapText="1"/>
    </xf>
    <xf numFmtId="0" fontId="13" fillId="8" borderId="20" xfId="0" applyFont="1" applyFill="1" applyBorder="1" applyAlignment="1">
      <alignment vertical="center" wrapText="1"/>
    </xf>
    <xf numFmtId="0" fontId="24" fillId="8" borderId="20" xfId="0" applyFont="1" applyFill="1" applyBorder="1" applyAlignment="1">
      <alignment vertical="center" wrapText="1"/>
    </xf>
    <xf numFmtId="0" fontId="13" fillId="8" borderId="8" xfId="0" applyFont="1" applyFill="1" applyBorder="1" applyAlignment="1">
      <alignment horizontal="center" vertical="center" wrapText="1"/>
    </xf>
    <xf numFmtId="0" fontId="13" fillId="8" borderId="24" xfId="0" applyFont="1" applyFill="1" applyBorder="1" applyAlignment="1">
      <alignment horizontal="center" vertical="center" wrapText="1"/>
    </xf>
    <xf numFmtId="0" fontId="13" fillId="0" borderId="7" xfId="0" applyFont="1" applyBorder="1" applyAlignment="1">
      <alignment horizontal="center" vertical="center" wrapText="1"/>
    </xf>
    <xf numFmtId="0" fontId="19" fillId="0" borderId="8" xfId="0" applyFont="1" applyBorder="1" applyAlignment="1">
      <alignment horizontal="center" vertical="center" wrapText="1"/>
    </xf>
    <xf numFmtId="0" fontId="27" fillId="13" borderId="46" xfId="0" applyFont="1" applyFill="1" applyBorder="1" applyAlignment="1">
      <alignment horizontal="left" vertical="top" wrapText="1"/>
    </xf>
    <xf numFmtId="0" fontId="17" fillId="10" borderId="13" xfId="0" applyFont="1" applyFill="1" applyBorder="1" applyAlignment="1">
      <alignment horizontal="center" vertical="center" wrapText="1"/>
    </xf>
    <xf numFmtId="0" fontId="13" fillId="10" borderId="4" xfId="0" applyFont="1" applyFill="1" applyBorder="1" applyAlignment="1">
      <alignment horizontal="center" vertical="center" wrapText="1"/>
    </xf>
    <xf numFmtId="0" fontId="24" fillId="12" borderId="18" xfId="0" applyFont="1" applyFill="1" applyBorder="1" applyAlignment="1">
      <alignment vertical="center" wrapText="1"/>
    </xf>
    <xf numFmtId="0" fontId="24" fillId="12" borderId="18" xfId="0" applyFont="1" applyFill="1" applyBorder="1" applyAlignment="1">
      <alignment horizontal="center" vertical="center" wrapText="1"/>
    </xf>
    <xf numFmtId="0" fontId="19" fillId="0" borderId="8" xfId="0" applyFont="1" applyBorder="1" applyAlignment="1">
      <alignment vertical="center" wrapText="1"/>
    </xf>
    <xf numFmtId="0" fontId="27" fillId="0" borderId="8" xfId="0" applyFont="1" applyBorder="1" applyAlignment="1">
      <alignment horizontal="center" vertical="center" wrapText="1"/>
    </xf>
    <xf numFmtId="0" fontId="27" fillId="0" borderId="21" xfId="0" applyFont="1" applyBorder="1" applyAlignment="1">
      <alignment horizontal="center" vertical="center" wrapText="1"/>
    </xf>
    <xf numFmtId="0" fontId="15" fillId="0" borderId="0" xfId="0" applyFont="1" applyAlignment="1">
      <alignment horizontal="center"/>
    </xf>
    <xf numFmtId="0" fontId="32" fillId="0" borderId="6" xfId="0" applyFont="1" applyBorder="1" applyAlignment="1">
      <alignment horizontal="center" vertical="center" wrapText="1"/>
    </xf>
    <xf numFmtId="0" fontId="32" fillId="0" borderId="24" xfId="0" applyFont="1" applyBorder="1" applyAlignment="1">
      <alignment horizontal="center" vertical="center" wrapText="1"/>
    </xf>
    <xf numFmtId="0" fontId="33" fillId="0" borderId="0" xfId="0" applyFont="1" applyAlignment="1">
      <alignment horizontal="center"/>
    </xf>
    <xf numFmtId="0" fontId="34" fillId="8" borderId="6" xfId="0" applyFont="1" applyFill="1" applyBorder="1" applyAlignment="1">
      <alignment vertical="center" wrapText="1"/>
    </xf>
    <xf numFmtId="0" fontId="34" fillId="8" borderId="20" xfId="0" applyFont="1" applyFill="1" applyBorder="1" applyAlignment="1">
      <alignment horizontal="center" vertical="center" wrapText="1"/>
    </xf>
    <xf numFmtId="0" fontId="35" fillId="13" borderId="5" xfId="0" applyFont="1" applyFill="1" applyBorder="1" applyAlignment="1">
      <alignment horizontal="center" vertical="center" wrapText="1"/>
    </xf>
    <xf numFmtId="0" fontId="19" fillId="0" borderId="5" xfId="0" applyFont="1" applyBorder="1" applyAlignment="1">
      <alignment horizontal="center" vertical="center" wrapText="1"/>
    </xf>
    <xf numFmtId="0" fontId="19" fillId="0" borderId="24" xfId="0" applyFont="1" applyBorder="1" applyAlignment="1">
      <alignment horizontal="center" vertical="center" wrapText="1"/>
    </xf>
    <xf numFmtId="0" fontId="19" fillId="0" borderId="0" xfId="0" applyFont="1" applyAlignment="1">
      <alignment horizontal="center" vertical="center" wrapText="1"/>
    </xf>
    <xf numFmtId="0" fontId="27" fillId="13" borderId="6" xfId="0" applyFont="1" applyFill="1" applyBorder="1" applyAlignment="1">
      <alignment horizontal="center" vertical="center"/>
    </xf>
    <xf numFmtId="0" fontId="26" fillId="0" borderId="26" xfId="0" applyFont="1" applyBorder="1" applyAlignment="1">
      <alignment vertical="center" wrapText="1"/>
    </xf>
    <xf numFmtId="0" fontId="19" fillId="0" borderId="26" xfId="0" applyFont="1" applyBorder="1" applyAlignment="1">
      <alignment vertical="center" wrapText="1"/>
    </xf>
    <xf numFmtId="0" fontId="26" fillId="0" borderId="32" xfId="0" applyFont="1" applyBorder="1" applyAlignment="1">
      <alignment vertical="center" wrapText="1"/>
    </xf>
    <xf numFmtId="0" fontId="27" fillId="13" borderId="24" xfId="0" applyFont="1" applyFill="1" applyBorder="1" applyAlignment="1">
      <alignment horizontal="center" vertical="center"/>
    </xf>
    <xf numFmtId="0" fontId="6" fillId="0" borderId="0" xfId="0" applyFont="1" applyAlignment="1">
      <alignment horizontal="left"/>
    </xf>
    <xf numFmtId="0" fontId="27" fillId="13" borderId="6" xfId="0" applyFont="1" applyFill="1" applyBorder="1" applyAlignment="1">
      <alignment horizontal="center" vertical="top" wrapText="1"/>
    </xf>
    <xf numFmtId="0" fontId="8" fillId="0" borderId="0" xfId="0" applyFont="1" applyAlignment="1">
      <alignment vertical="top"/>
    </xf>
    <xf numFmtId="0" fontId="27" fillId="0" borderId="0" xfId="0" applyFont="1" applyAlignment="1">
      <alignment vertical="top"/>
    </xf>
    <xf numFmtId="0" fontId="6" fillId="0" borderId="0" xfId="0" applyFont="1" applyAlignment="1">
      <alignment vertical="top"/>
    </xf>
    <xf numFmtId="0" fontId="16" fillId="0" borderId="0" xfId="0" applyFont="1" applyAlignment="1">
      <alignment vertical="top"/>
    </xf>
    <xf numFmtId="0" fontId="0" fillId="0" borderId="0" xfId="0" applyAlignment="1">
      <alignment vertical="top"/>
    </xf>
    <xf numFmtId="0" fontId="29" fillId="0" borderId="0" xfId="0" applyFont="1" applyAlignment="1">
      <alignment vertical="top"/>
    </xf>
    <xf numFmtId="0" fontId="13" fillId="8" borderId="6" xfId="0" applyFont="1" applyFill="1" applyBorder="1" applyAlignment="1">
      <alignment vertical="center" wrapText="1"/>
    </xf>
    <xf numFmtId="0" fontId="22" fillId="0" borderId="0" xfId="0" applyFont="1" applyAlignment="1">
      <alignment vertical="top"/>
    </xf>
    <xf numFmtId="0" fontId="8" fillId="0" borderId="0" xfId="0" applyFont="1" applyAlignment="1">
      <alignment vertical="center"/>
    </xf>
    <xf numFmtId="0" fontId="16" fillId="0" borderId="0" xfId="0" applyFont="1" applyAlignment="1">
      <alignment vertical="center"/>
    </xf>
    <xf numFmtId="0" fontId="17" fillId="0" borderId="0" xfId="0" applyFont="1" applyAlignment="1">
      <alignment vertical="center"/>
    </xf>
    <xf numFmtId="0" fontId="0" fillId="0" borderId="0" xfId="0" applyAlignment="1">
      <alignment vertical="center"/>
    </xf>
    <xf numFmtId="0" fontId="13" fillId="10" borderId="24" xfId="0" applyFont="1" applyFill="1" applyBorder="1" applyAlignment="1">
      <alignment vertical="center" wrapText="1"/>
    </xf>
    <xf numFmtId="0" fontId="14" fillId="10" borderId="24" xfId="0" applyFont="1" applyFill="1" applyBorder="1" applyAlignment="1">
      <alignment vertical="center" wrapText="1"/>
    </xf>
    <xf numFmtId="0" fontId="13" fillId="11" borderId="7" xfId="0" applyFont="1" applyFill="1" applyBorder="1" applyAlignment="1">
      <alignment vertical="center" wrapText="1"/>
    </xf>
    <xf numFmtId="0" fontId="13" fillId="13" borderId="6" xfId="0" applyFont="1" applyFill="1" applyBorder="1" applyAlignment="1">
      <alignment vertical="center" wrapText="1"/>
    </xf>
    <xf numFmtId="0" fontId="27" fillId="15" borderId="26" xfId="0" applyFont="1" applyFill="1" applyBorder="1" applyAlignment="1">
      <alignment vertical="center" wrapText="1"/>
    </xf>
    <xf numFmtId="0" fontId="13" fillId="14" borderId="6" xfId="0" applyFont="1" applyFill="1" applyBorder="1" applyAlignment="1">
      <alignment vertical="center" wrapText="1"/>
    </xf>
    <xf numFmtId="0" fontId="8" fillId="0" borderId="6" xfId="0" applyFont="1" applyBorder="1" applyAlignment="1">
      <alignment vertical="center"/>
    </xf>
    <xf numFmtId="0" fontId="6" fillId="0" borderId="6" xfId="0" applyFont="1" applyBorder="1" applyAlignment="1">
      <alignment vertical="center"/>
    </xf>
    <xf numFmtId="0" fontId="16" fillId="0" borderId="6" xfId="0" applyFont="1" applyBorder="1" applyAlignment="1">
      <alignment vertical="center"/>
    </xf>
    <xf numFmtId="0" fontId="8" fillId="0" borderId="7" xfId="0" applyFont="1" applyBorder="1" applyAlignment="1">
      <alignment vertical="center"/>
    </xf>
    <xf numFmtId="0" fontId="27" fillId="13" borderId="30" xfId="0" applyFont="1" applyFill="1" applyBorder="1" applyAlignment="1">
      <alignment horizontal="left" vertical="center" wrapText="1"/>
    </xf>
    <xf numFmtId="0" fontId="13" fillId="8" borderId="5" xfId="0" applyFont="1" applyFill="1" applyBorder="1" applyAlignment="1">
      <alignment horizontal="center" vertical="center" wrapText="1"/>
    </xf>
    <xf numFmtId="0" fontId="6" fillId="13" borderId="5" xfId="0" applyFont="1" applyFill="1" applyBorder="1" applyAlignment="1">
      <alignment horizontal="center" vertical="center" wrapText="1"/>
    </xf>
    <xf numFmtId="0" fontId="26" fillId="0" borderId="2" xfId="0" applyFont="1" applyBorder="1" applyAlignment="1">
      <alignment horizontal="center" vertical="center" wrapText="1"/>
    </xf>
    <xf numFmtId="0" fontId="26" fillId="0" borderId="4" xfId="0" applyFont="1" applyBorder="1" applyAlignment="1">
      <alignment horizontal="center" vertical="center" wrapText="1"/>
    </xf>
    <xf numFmtId="0" fontId="20" fillId="0" borderId="2" xfId="0" applyFont="1" applyBorder="1" applyAlignment="1">
      <alignment horizontal="center" vertical="center" wrapText="1"/>
    </xf>
    <xf numFmtId="0" fontId="20" fillId="0" borderId="4" xfId="0" applyFont="1" applyBorder="1" applyAlignment="1">
      <alignment horizontal="center" vertical="center" wrapText="1"/>
    </xf>
    <xf numFmtId="0" fontId="19" fillId="0" borderId="13" xfId="0" applyFont="1" applyBorder="1" applyAlignment="1">
      <alignment horizontal="center" vertical="center" wrapText="1"/>
    </xf>
    <xf numFmtId="0" fontId="20" fillId="0" borderId="17" xfId="0" applyFont="1" applyBorder="1" applyAlignment="1">
      <alignment horizontal="center" vertical="center" wrapText="1"/>
    </xf>
    <xf numFmtId="0" fontId="20" fillId="0" borderId="19" xfId="0" applyFont="1" applyBorder="1" applyAlignment="1">
      <alignment horizontal="center" vertical="center" wrapText="1"/>
    </xf>
    <xf numFmtId="0" fontId="27" fillId="13" borderId="42" xfId="0" applyFont="1" applyFill="1" applyBorder="1" applyAlignment="1">
      <alignment horizontal="center" vertical="center" wrapText="1"/>
    </xf>
    <xf numFmtId="0" fontId="13" fillId="0" borderId="17" xfId="0" applyFont="1" applyBorder="1" applyAlignment="1">
      <alignment horizontal="center" vertical="center" wrapText="1"/>
    </xf>
    <xf numFmtId="0" fontId="20" fillId="0" borderId="24" xfId="0" applyFont="1" applyBorder="1" applyAlignment="1">
      <alignment horizontal="center" vertical="center" wrapText="1"/>
    </xf>
    <xf numFmtId="0" fontId="19" fillId="0" borderId="25" xfId="0" applyFont="1" applyBorder="1" applyAlignment="1">
      <alignment horizontal="center" vertical="center" wrapText="1"/>
    </xf>
    <xf numFmtId="0" fontId="27" fillId="13" borderId="4" xfId="0" applyFont="1" applyFill="1" applyBorder="1" applyAlignment="1">
      <alignment horizontal="center" vertical="center" wrapText="1"/>
    </xf>
    <xf numFmtId="0" fontId="24" fillId="8" borderId="6" xfId="0" applyFont="1" applyFill="1" applyBorder="1" applyAlignment="1">
      <alignment horizontal="center" vertical="center" wrapText="1"/>
    </xf>
    <xf numFmtId="0" fontId="16" fillId="0" borderId="26" xfId="0" applyFont="1" applyBorder="1" applyAlignment="1">
      <alignment horizontal="center" vertical="center" wrapText="1"/>
    </xf>
    <xf numFmtId="0" fontId="21" fillId="0" borderId="26" xfId="0" applyFont="1" applyBorder="1" applyAlignment="1">
      <alignment horizontal="center" vertical="center" wrapText="1"/>
    </xf>
    <xf numFmtId="0" fontId="8" fillId="0" borderId="6" xfId="0" applyFont="1" applyBorder="1" applyAlignment="1">
      <alignment horizontal="center" vertical="center"/>
    </xf>
    <xf numFmtId="0" fontId="6" fillId="0" borderId="6" xfId="0" applyFont="1" applyBorder="1" applyAlignment="1">
      <alignment horizontal="center" vertical="center"/>
    </xf>
    <xf numFmtId="0" fontId="16" fillId="0" borderId="6" xfId="0" applyFont="1" applyBorder="1" applyAlignment="1">
      <alignment horizontal="center" vertical="center"/>
    </xf>
    <xf numFmtId="0" fontId="16" fillId="0" borderId="24" xfId="0" applyFont="1" applyBorder="1" applyAlignment="1">
      <alignment horizontal="center" vertical="center" wrapText="1"/>
    </xf>
    <xf numFmtId="0" fontId="21" fillId="0" borderId="24" xfId="0" applyFont="1" applyBorder="1" applyAlignment="1">
      <alignment horizontal="center" vertical="center" wrapText="1"/>
    </xf>
    <xf numFmtId="0" fontId="20" fillId="0" borderId="25" xfId="0" applyFont="1" applyBorder="1" applyAlignment="1">
      <alignment horizontal="center" vertical="center" wrapText="1"/>
    </xf>
    <xf numFmtId="0" fontId="27" fillId="0" borderId="28" xfId="0" applyFont="1" applyBorder="1" applyAlignment="1">
      <alignment horizontal="center" vertical="center" wrapText="1"/>
    </xf>
    <xf numFmtId="0" fontId="8" fillId="0" borderId="24" xfId="0" applyFont="1" applyBorder="1" applyAlignment="1">
      <alignment horizontal="center" vertical="center"/>
    </xf>
    <xf numFmtId="0" fontId="6" fillId="0" borderId="24" xfId="0" applyFont="1" applyBorder="1" applyAlignment="1">
      <alignment horizontal="center" vertical="center"/>
    </xf>
    <xf numFmtId="0" fontId="16" fillId="0" borderId="24" xfId="0" applyFont="1" applyBorder="1" applyAlignment="1">
      <alignment horizontal="center" vertical="center"/>
    </xf>
    <xf numFmtId="0" fontId="28" fillId="0" borderId="21" xfId="0" applyFont="1" applyBorder="1" applyAlignment="1">
      <alignment horizontal="center" vertical="center" wrapText="1"/>
    </xf>
    <xf numFmtId="0" fontId="28" fillId="0" borderId="6" xfId="0" applyFont="1" applyBorder="1" applyAlignment="1">
      <alignment horizontal="center" vertical="center" wrapText="1"/>
    </xf>
    <xf numFmtId="0" fontId="28" fillId="0" borderId="24" xfId="0" applyFont="1" applyBorder="1" applyAlignment="1">
      <alignment horizontal="center" vertical="center" wrapText="1"/>
    </xf>
    <xf numFmtId="0" fontId="27" fillId="13" borderId="38" xfId="0" applyFont="1" applyFill="1" applyBorder="1" applyAlignment="1">
      <alignment horizontal="center" vertical="center" wrapText="1"/>
    </xf>
    <xf numFmtId="0" fontId="28" fillId="0" borderId="23" xfId="0" applyFont="1" applyBorder="1" applyAlignment="1">
      <alignment horizontal="center" vertical="center" wrapText="1"/>
    </xf>
    <xf numFmtId="0" fontId="28" fillId="0" borderId="37" xfId="0" applyFont="1" applyBorder="1" applyAlignment="1">
      <alignment horizontal="center" vertical="center" wrapText="1"/>
    </xf>
    <xf numFmtId="0" fontId="8" fillId="0" borderId="37" xfId="0" applyFont="1" applyBorder="1" applyAlignment="1">
      <alignment horizontal="center" vertical="center"/>
    </xf>
    <xf numFmtId="0" fontId="6" fillId="0" borderId="37" xfId="0" applyFont="1" applyBorder="1" applyAlignment="1">
      <alignment horizontal="center" vertical="center"/>
    </xf>
    <xf numFmtId="0" fontId="16" fillId="0" borderId="37" xfId="0" applyFont="1" applyBorder="1" applyAlignment="1">
      <alignment horizontal="center" vertical="center"/>
    </xf>
    <xf numFmtId="0" fontId="27" fillId="13" borderId="8" xfId="0" applyFont="1" applyFill="1" applyBorder="1" applyAlignment="1">
      <alignment vertical="center" wrapText="1"/>
    </xf>
    <xf numFmtId="0" fontId="13" fillId="14" borderId="43" xfId="0" applyFont="1" applyFill="1" applyBorder="1" applyAlignment="1">
      <alignment vertical="center" wrapText="1"/>
    </xf>
    <xf numFmtId="0" fontId="13" fillId="14" borderId="41" xfId="0" applyFont="1" applyFill="1" applyBorder="1" applyAlignment="1">
      <alignment vertical="center" wrapText="1"/>
    </xf>
    <xf numFmtId="0" fontId="13" fillId="14" borderId="47" xfId="0" applyFont="1" applyFill="1" applyBorder="1" applyAlignment="1">
      <alignment vertical="center" wrapText="1"/>
    </xf>
    <xf numFmtId="0" fontId="14" fillId="0" borderId="17" xfId="0" applyFont="1" applyBorder="1" applyAlignment="1">
      <alignment vertical="center" wrapText="1"/>
    </xf>
    <xf numFmtId="0" fontId="14" fillId="10" borderId="55" xfId="0" applyFont="1" applyFill="1" applyBorder="1" applyAlignment="1">
      <alignment horizontal="center" vertical="center" wrapText="1"/>
    </xf>
    <xf numFmtId="0" fontId="13" fillId="8" borderId="59" xfId="0" applyFont="1" applyFill="1" applyBorder="1" applyAlignment="1">
      <alignment horizontal="center" vertical="center" wrapText="1"/>
    </xf>
    <xf numFmtId="0" fontId="13" fillId="13" borderId="59" xfId="0" applyFont="1" applyFill="1" applyBorder="1" applyAlignment="1">
      <alignment horizontal="center" vertical="center" wrapText="1"/>
    </xf>
    <xf numFmtId="0" fontId="24" fillId="8" borderId="60" xfId="0" applyFont="1" applyFill="1" applyBorder="1" applyAlignment="1">
      <alignment vertical="center" wrapText="1"/>
    </xf>
    <xf numFmtId="0" fontId="13" fillId="13" borderId="61" xfId="0" applyFont="1" applyFill="1" applyBorder="1" applyAlignment="1">
      <alignment horizontal="center" vertical="center" wrapText="1"/>
    </xf>
    <xf numFmtId="0" fontId="25" fillId="13" borderId="62" xfId="0" applyFont="1" applyFill="1" applyBorder="1" applyAlignment="1">
      <alignment vertical="center" wrapText="1"/>
    </xf>
    <xf numFmtId="0" fontId="26" fillId="0" borderId="63" xfId="0" applyFont="1" applyBorder="1" applyAlignment="1">
      <alignment vertical="center" wrapText="1"/>
    </xf>
    <xf numFmtId="0" fontId="20" fillId="0" borderId="63" xfId="0" applyFont="1" applyBorder="1" applyAlignment="1">
      <alignment vertical="center" wrapText="1"/>
    </xf>
    <xf numFmtId="0" fontId="20" fillId="0" borderId="64" xfId="0" applyFont="1" applyBorder="1" applyAlignment="1">
      <alignment vertical="center" wrapText="1"/>
    </xf>
    <xf numFmtId="0" fontId="0" fillId="0" borderId="6" xfId="0" applyBorder="1" applyAlignment="1">
      <alignment horizontal="center"/>
    </xf>
    <xf numFmtId="0" fontId="0" fillId="0" borderId="6" xfId="0" applyBorder="1" applyAlignment="1">
      <alignment horizontal="center" vertical="center"/>
    </xf>
    <xf numFmtId="0" fontId="22" fillId="0" borderId="6" xfId="0" applyFont="1" applyBorder="1"/>
    <xf numFmtId="0" fontId="0" fillId="0" borderId="6" xfId="0" applyBorder="1"/>
    <xf numFmtId="0" fontId="13" fillId="0" borderId="27" xfId="0" applyFont="1" applyBorder="1" applyAlignment="1">
      <alignment horizontal="left" vertical="center" wrapText="1"/>
    </xf>
    <xf numFmtId="0" fontId="13" fillId="0" borderId="24" xfId="0" applyFont="1" applyBorder="1" applyAlignment="1">
      <alignment horizontal="left" vertical="center" wrapText="1"/>
    </xf>
    <xf numFmtId="0" fontId="13" fillId="0" borderId="32" xfId="0" applyFont="1" applyBorder="1" applyAlignment="1">
      <alignment horizontal="center" vertical="center" wrapText="1"/>
    </xf>
    <xf numFmtId="0" fontId="13" fillId="0" borderId="20" xfId="0" applyFont="1" applyBorder="1" applyAlignment="1">
      <alignment vertical="center" wrapText="1"/>
    </xf>
    <xf numFmtId="0" fontId="13" fillId="0" borderId="20" xfId="0" applyFont="1" applyBorder="1" applyAlignment="1">
      <alignment horizontal="center" vertical="center" wrapText="1"/>
    </xf>
    <xf numFmtId="0" fontId="19" fillId="0" borderId="20" xfId="0" applyFont="1" applyBorder="1" applyAlignment="1">
      <alignment vertical="center" wrapText="1"/>
    </xf>
    <xf numFmtId="0" fontId="20" fillId="0" borderId="14" xfId="0" applyFont="1" applyBorder="1" applyAlignment="1">
      <alignment vertical="center" wrapText="1"/>
    </xf>
    <xf numFmtId="0" fontId="20" fillId="0" borderId="15" xfId="0" applyFont="1" applyBorder="1" applyAlignment="1">
      <alignment vertical="center" wrapText="1"/>
    </xf>
    <xf numFmtId="0" fontId="13" fillId="8" borderId="24" xfId="0" applyFont="1" applyFill="1" applyBorder="1" applyAlignment="1">
      <alignment horizontal="left" vertical="center" wrapText="1"/>
    </xf>
    <xf numFmtId="0" fontId="14" fillId="10" borderId="24" xfId="0" applyFont="1" applyFill="1" applyBorder="1" applyAlignment="1">
      <alignment horizontal="center" vertical="center" wrapText="1"/>
    </xf>
    <xf numFmtId="0" fontId="13" fillId="10" borderId="27" xfId="0" applyFont="1" applyFill="1" applyBorder="1" applyAlignment="1">
      <alignment horizontal="center" vertical="center" wrapText="1"/>
    </xf>
    <xf numFmtId="0" fontId="26" fillId="0" borderId="26" xfId="0" applyFont="1" applyBorder="1" applyAlignment="1">
      <alignment horizontal="center" vertical="center" wrapText="1"/>
    </xf>
    <xf numFmtId="0" fontId="14" fillId="0" borderId="6" xfId="0" applyFont="1" applyBorder="1" applyAlignment="1">
      <alignment vertical="center" wrapText="1"/>
    </xf>
    <xf numFmtId="0" fontId="14" fillId="0" borderId="20" xfId="0" applyFont="1" applyBorder="1" applyAlignment="1">
      <alignment vertical="center" wrapText="1"/>
    </xf>
    <xf numFmtId="0" fontId="13" fillId="8" borderId="26" xfId="0" applyFont="1" applyFill="1" applyBorder="1" applyAlignment="1">
      <alignment horizontal="center" vertical="center" wrapText="1"/>
    </xf>
    <xf numFmtId="0" fontId="27" fillId="13" borderId="5" xfId="0" applyFont="1" applyFill="1" applyBorder="1" applyAlignment="1">
      <alignment horizontal="center" vertical="center" wrapText="1"/>
    </xf>
    <xf numFmtId="0" fontId="13" fillId="8" borderId="28" xfId="0" applyFont="1" applyFill="1" applyBorder="1" applyAlignment="1">
      <alignment horizontal="left" vertical="center" wrapText="1"/>
    </xf>
    <xf numFmtId="0" fontId="36" fillId="0" borderId="27" xfId="0" applyFont="1" applyBorder="1" applyAlignment="1">
      <alignment horizontal="center" vertical="center" wrapText="1"/>
    </xf>
    <xf numFmtId="0" fontId="24" fillId="8" borderId="27" xfId="0" applyFont="1" applyFill="1" applyBorder="1" applyAlignment="1">
      <alignment horizontal="center" vertical="center" wrapText="1"/>
    </xf>
    <xf numFmtId="0" fontId="13" fillId="8" borderId="25" xfId="0" applyFont="1" applyFill="1" applyBorder="1" applyAlignment="1">
      <alignment horizontal="center" vertical="center" wrapText="1"/>
    </xf>
    <xf numFmtId="0" fontId="31" fillId="0" borderId="6" xfId="0" applyFont="1" applyBorder="1" applyAlignment="1">
      <alignment horizontal="center" vertical="center"/>
    </xf>
    <xf numFmtId="0" fontId="31" fillId="0" borderId="6" xfId="0" applyFont="1" applyBorder="1" applyAlignment="1">
      <alignment horizontal="center" vertical="center" wrapText="1"/>
    </xf>
    <xf numFmtId="0" fontId="19" fillId="0" borderId="27" xfId="0" applyFont="1" applyBorder="1" applyAlignment="1">
      <alignment horizontal="center" vertical="center" wrapText="1"/>
    </xf>
    <xf numFmtId="0" fontId="13" fillId="8" borderId="32" xfId="0" applyFont="1" applyFill="1" applyBorder="1" applyAlignment="1">
      <alignment horizontal="center" vertical="center" wrapText="1"/>
    </xf>
    <xf numFmtId="0" fontId="0" fillId="0" borderId="40" xfId="0" applyBorder="1"/>
    <xf numFmtId="0" fontId="29" fillId="0" borderId="40" xfId="0" applyFont="1" applyBorder="1" applyAlignment="1">
      <alignment horizontal="center" vertical="center"/>
    </xf>
    <xf numFmtId="0" fontId="0" fillId="0" borderId="40" xfId="0" applyBorder="1" applyAlignment="1">
      <alignment horizontal="left" vertical="top"/>
    </xf>
    <xf numFmtId="0" fontId="0" fillId="0" borderId="40" xfId="0" applyBorder="1" applyAlignment="1">
      <alignment horizontal="center"/>
    </xf>
    <xf numFmtId="0" fontId="22" fillId="0" borderId="40" xfId="0" applyFont="1" applyBorder="1"/>
    <xf numFmtId="0" fontId="13" fillId="0" borderId="17" xfId="0" applyFont="1" applyBorder="1" applyAlignment="1">
      <alignment vertical="center" wrapText="1"/>
    </xf>
    <xf numFmtId="0" fontId="20" fillId="0" borderId="8" xfId="0" applyFont="1" applyBorder="1" applyAlignment="1">
      <alignment vertical="center" wrapText="1"/>
    </xf>
    <xf numFmtId="0" fontId="37" fillId="0" borderId="6" xfId="0" applyFont="1" applyBorder="1" applyAlignment="1">
      <alignment horizontal="center" vertical="center" wrapText="1"/>
    </xf>
    <xf numFmtId="0" fontId="19" fillId="8" borderId="24" xfId="0" applyFont="1" applyFill="1" applyBorder="1" applyAlignment="1">
      <alignment vertical="center" wrapText="1"/>
    </xf>
    <xf numFmtId="0" fontId="37" fillId="8" borderId="24" xfId="0" applyFont="1" applyFill="1" applyBorder="1" applyAlignment="1">
      <alignment horizontal="center" vertical="center" wrapText="1"/>
    </xf>
    <xf numFmtId="0" fontId="11" fillId="6" borderId="0" xfId="0" applyFont="1" applyFill="1"/>
    <xf numFmtId="0" fontId="6" fillId="0" borderId="12" xfId="0" applyFont="1" applyBorder="1" applyAlignment="1">
      <alignment horizontal="left" vertical="center" wrapText="1"/>
    </xf>
    <xf numFmtId="0" fontId="6" fillId="0" borderId="12" xfId="0" applyFont="1" applyBorder="1" applyAlignment="1">
      <alignment horizontal="center"/>
    </xf>
    <xf numFmtId="0" fontId="10" fillId="6" borderId="0" xfId="0" applyFont="1" applyFill="1" applyAlignment="1">
      <alignment horizontal="left"/>
    </xf>
    <xf numFmtId="0" fontId="13" fillId="7" borderId="12" xfId="0" applyFont="1" applyFill="1" applyBorder="1" applyAlignment="1">
      <alignment horizontal="center" vertical="center"/>
    </xf>
    <xf numFmtId="0" fontId="2" fillId="3" borderId="12" xfId="0" applyFont="1" applyFill="1" applyBorder="1" applyAlignment="1">
      <alignment horizontal="left" vertical="center"/>
    </xf>
    <xf numFmtId="0" fontId="3" fillId="2" borderId="12" xfId="0" applyFont="1" applyFill="1" applyBorder="1" applyAlignment="1">
      <alignment horizontal="center"/>
    </xf>
    <xf numFmtId="0" fontId="23" fillId="0" borderId="12" xfId="0" applyFont="1" applyBorder="1" applyAlignment="1">
      <alignment horizontal="left" vertical="center"/>
    </xf>
    <xf numFmtId="0" fontId="2" fillId="0" borderId="12" xfId="0" applyFont="1" applyBorder="1" applyAlignment="1">
      <alignment horizontal="left" vertical="center"/>
    </xf>
    <xf numFmtId="0" fontId="2" fillId="0" borderId="12" xfId="0" applyFont="1" applyBorder="1" applyAlignment="1">
      <alignment horizontal="left" vertical="center" wrapText="1"/>
    </xf>
    <xf numFmtId="0" fontId="4" fillId="2" borderId="12" xfId="0" applyFont="1" applyFill="1" applyBorder="1" applyAlignment="1">
      <alignment horizontal="left" vertical="center"/>
    </xf>
    <xf numFmtId="0" fontId="2" fillId="0" borderId="12" xfId="0" applyFont="1" applyBorder="1" applyAlignment="1">
      <alignment horizontal="left" vertical="top" wrapText="1"/>
    </xf>
    <xf numFmtId="0" fontId="9" fillId="4" borderId="12" xfId="0" applyFont="1" applyFill="1" applyBorder="1" applyAlignment="1">
      <alignment horizontal="left" vertical="center"/>
    </xf>
    <xf numFmtId="0" fontId="1" fillId="5" borderId="9" xfId="1" applyFill="1" applyBorder="1" applyAlignment="1">
      <alignment horizontal="center" vertical="center"/>
    </xf>
    <xf numFmtId="0" fontId="1" fillId="5" borderId="10" xfId="1" applyFill="1" applyBorder="1" applyAlignment="1">
      <alignment horizontal="center" vertical="center"/>
    </xf>
    <xf numFmtId="0" fontId="15" fillId="0" borderId="0" xfId="0" applyFont="1"/>
    <xf numFmtId="0" fontId="7" fillId="4" borderId="12" xfId="0" applyFont="1" applyFill="1" applyBorder="1" applyAlignment="1">
      <alignment horizontal="center" vertical="center"/>
    </xf>
    <xf numFmtId="0" fontId="7" fillId="4" borderId="12"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0" xfId="0" applyFont="1" applyFill="1" applyAlignment="1">
      <alignment horizontal="left" vertical="top" wrapText="1"/>
    </xf>
    <xf numFmtId="0" fontId="1" fillId="5" borderId="11" xfId="1" applyFill="1" applyBorder="1" applyAlignment="1">
      <alignment horizontal="center" vertical="center"/>
    </xf>
    <xf numFmtId="0" fontId="2" fillId="5" borderId="33" xfId="0" applyFont="1" applyFill="1" applyBorder="1" applyAlignment="1">
      <alignment horizontal="left" vertical="center" wrapText="1"/>
    </xf>
    <xf numFmtId="0" fontId="2" fillId="5" borderId="34" xfId="0" applyFont="1" applyFill="1" applyBorder="1" applyAlignment="1">
      <alignment horizontal="left" vertical="center" wrapText="1"/>
    </xf>
    <xf numFmtId="0" fontId="2" fillId="5" borderId="35" xfId="0" applyFont="1" applyFill="1" applyBorder="1" applyAlignment="1">
      <alignment horizontal="left" vertical="center" wrapText="1"/>
    </xf>
    <xf numFmtId="0" fontId="2" fillId="5" borderId="36" xfId="0" applyFont="1" applyFill="1" applyBorder="1" applyAlignment="1">
      <alignment horizontal="left" vertical="center" wrapText="1"/>
    </xf>
    <xf numFmtId="0" fontId="1" fillId="5" borderId="12" xfId="1" applyFill="1" applyBorder="1" applyAlignment="1">
      <alignment horizontal="center" vertical="center"/>
    </xf>
    <xf numFmtId="0" fontId="14" fillId="3" borderId="6" xfId="0" applyFont="1" applyFill="1" applyBorder="1" applyAlignment="1">
      <alignment horizontal="center" vertical="center" wrapText="1"/>
    </xf>
    <xf numFmtId="0" fontId="13" fillId="14" borderId="7" xfId="0" applyFont="1" applyFill="1" applyBorder="1" applyAlignment="1">
      <alignment horizontal="left" vertical="center" wrapText="1"/>
    </xf>
    <xf numFmtId="0" fontId="13" fillId="14" borderId="21" xfId="0" applyFont="1" applyFill="1" applyBorder="1" applyAlignment="1">
      <alignment horizontal="left" vertical="center" wrapText="1"/>
    </xf>
    <xf numFmtId="0" fontId="13" fillId="14" borderId="8" xfId="0" applyFont="1" applyFill="1" applyBorder="1" applyAlignment="1">
      <alignment horizontal="left" vertical="center" wrapText="1"/>
    </xf>
    <xf numFmtId="0" fontId="13" fillId="14" borderId="7" xfId="0" applyFont="1" applyFill="1" applyBorder="1" applyAlignment="1">
      <alignment horizontal="left" vertical="center"/>
    </xf>
    <xf numFmtId="0" fontId="13" fillId="14" borderId="21" xfId="0" applyFont="1" applyFill="1" applyBorder="1" applyAlignment="1">
      <alignment horizontal="left" vertical="center"/>
    </xf>
    <xf numFmtId="0" fontId="13" fillId="14" borderId="8" xfId="0" applyFont="1" applyFill="1" applyBorder="1" applyAlignment="1">
      <alignment horizontal="left" vertical="center"/>
    </xf>
    <xf numFmtId="0" fontId="14" fillId="15" borderId="2" xfId="0" applyFont="1" applyFill="1" applyBorder="1" applyAlignment="1">
      <alignment horizontal="left" vertical="center" wrapText="1"/>
    </xf>
    <xf numFmtId="0" fontId="14" fillId="15" borderId="3" xfId="0" applyFont="1" applyFill="1" applyBorder="1" applyAlignment="1">
      <alignment horizontal="left" vertical="center" wrapText="1"/>
    </xf>
    <xf numFmtId="0" fontId="14" fillId="15" borderId="4" xfId="0" applyFont="1" applyFill="1" applyBorder="1" applyAlignment="1">
      <alignment horizontal="left" vertical="center" wrapText="1"/>
    </xf>
    <xf numFmtId="0" fontId="14" fillId="10" borderId="6" xfId="0" applyFont="1" applyFill="1" applyBorder="1" applyAlignment="1">
      <alignment horizontal="center" vertical="center" wrapText="1"/>
    </xf>
    <xf numFmtId="0" fontId="27" fillId="13" borderId="24" xfId="0" applyFont="1" applyFill="1" applyBorder="1" applyAlignment="1">
      <alignment horizontal="center" vertical="center" wrapText="1"/>
    </xf>
    <xf numFmtId="0" fontId="27" fillId="13" borderId="25" xfId="0" applyFont="1" applyFill="1" applyBorder="1" applyAlignment="1">
      <alignment horizontal="center" vertical="center" wrapText="1"/>
    </xf>
    <xf numFmtId="0" fontId="27" fillId="13" borderId="26" xfId="0" applyFont="1" applyFill="1" applyBorder="1" applyAlignment="1">
      <alignment horizontal="center" vertical="center" wrapText="1"/>
    </xf>
    <xf numFmtId="0" fontId="14" fillId="10" borderId="48" xfId="0" applyFont="1" applyFill="1" applyBorder="1" applyAlignment="1">
      <alignment horizontal="center" vertical="center" wrapText="1"/>
    </xf>
    <xf numFmtId="0" fontId="14" fillId="10" borderId="14" xfId="0" applyFont="1" applyFill="1" applyBorder="1" applyAlignment="1">
      <alignment horizontal="center" vertical="center" wrapText="1"/>
    </xf>
    <xf numFmtId="0" fontId="27" fillId="0" borderId="24" xfId="0" applyFont="1" applyBorder="1" applyAlignment="1">
      <alignment horizontal="center" vertical="center" wrapText="1"/>
    </xf>
    <xf numFmtId="0" fontId="27" fillId="0" borderId="25" xfId="0" applyFont="1" applyBorder="1" applyAlignment="1">
      <alignment horizontal="center" vertical="center" wrapText="1"/>
    </xf>
    <xf numFmtId="0" fontId="27" fillId="0" borderId="50" xfId="0" applyFont="1" applyBorder="1" applyAlignment="1">
      <alignment horizontal="center" vertical="center" wrapText="1"/>
    </xf>
    <xf numFmtId="0" fontId="27" fillId="13" borderId="24" xfId="0" applyFont="1" applyFill="1" applyBorder="1" applyAlignment="1">
      <alignment horizontal="center" vertical="center"/>
    </xf>
    <xf numFmtId="0" fontId="27" fillId="13" borderId="26" xfId="0" applyFont="1" applyFill="1" applyBorder="1" applyAlignment="1">
      <alignment horizontal="center" vertical="center"/>
    </xf>
    <xf numFmtId="0" fontId="24" fillId="11" borderId="51" xfId="0" applyFont="1" applyFill="1" applyBorder="1" applyAlignment="1">
      <alignment horizontal="left" vertical="center" wrapText="1"/>
    </xf>
    <xf numFmtId="0" fontId="24" fillId="11" borderId="1" xfId="0" applyFont="1" applyFill="1" applyBorder="1" applyAlignment="1">
      <alignment horizontal="left" vertical="center" wrapText="1"/>
    </xf>
    <xf numFmtId="0" fontId="24" fillId="11" borderId="52" xfId="0" applyFont="1" applyFill="1" applyBorder="1" applyAlignment="1">
      <alignment horizontal="left" vertical="center" wrapText="1"/>
    </xf>
    <xf numFmtId="0" fontId="13" fillId="14" borderId="45" xfId="0" applyFont="1" applyFill="1" applyBorder="1" applyAlignment="1">
      <alignment horizontal="left" vertical="center" wrapText="1"/>
    </xf>
    <xf numFmtId="0" fontId="13" fillId="14" borderId="43" xfId="0" applyFont="1" applyFill="1" applyBorder="1" applyAlignment="1">
      <alignment horizontal="left" vertical="center" wrapText="1"/>
    </xf>
    <xf numFmtId="0" fontId="13" fillId="14" borderId="44" xfId="0" applyFont="1" applyFill="1" applyBorder="1" applyAlignment="1">
      <alignment horizontal="left" vertical="center" wrapText="1"/>
    </xf>
    <xf numFmtId="0" fontId="14" fillId="15" borderId="53" xfId="0" applyFont="1" applyFill="1" applyBorder="1" applyAlignment="1">
      <alignment horizontal="left" vertical="center" wrapText="1"/>
    </xf>
    <xf numFmtId="0" fontId="13" fillId="16" borderId="7" xfId="0" applyFont="1" applyFill="1" applyBorder="1" applyAlignment="1">
      <alignment horizontal="left" vertical="center" wrapText="1"/>
    </xf>
    <xf numFmtId="0" fontId="13" fillId="16" borderId="21" xfId="0" applyFont="1" applyFill="1" applyBorder="1" applyAlignment="1">
      <alignment horizontal="left" vertical="center" wrapText="1"/>
    </xf>
    <xf numFmtId="0" fontId="13" fillId="16" borderId="8" xfId="0" applyFont="1" applyFill="1" applyBorder="1" applyAlignment="1">
      <alignment horizontal="left" vertical="center" wrapText="1"/>
    </xf>
    <xf numFmtId="0" fontId="14" fillId="15" borderId="51" xfId="0" applyFont="1" applyFill="1" applyBorder="1" applyAlignment="1">
      <alignment horizontal="left" vertical="center" wrapText="1"/>
    </xf>
    <xf numFmtId="0" fontId="14" fillId="15" borderId="1" xfId="0" applyFont="1" applyFill="1" applyBorder="1" applyAlignment="1">
      <alignment horizontal="left" vertical="center" wrapText="1"/>
    </xf>
    <xf numFmtId="0" fontId="14" fillId="15" borderId="52" xfId="0" applyFont="1" applyFill="1" applyBorder="1" applyAlignment="1">
      <alignment horizontal="left" vertical="center" wrapText="1"/>
    </xf>
    <xf numFmtId="0" fontId="14" fillId="0" borderId="24" xfId="0" applyFont="1" applyBorder="1" applyAlignment="1">
      <alignment horizontal="center" vertical="center" wrapText="1"/>
    </xf>
    <xf numFmtId="0" fontId="17" fillId="0" borderId="24" xfId="0" applyFont="1" applyBorder="1" applyAlignment="1">
      <alignment horizontal="center"/>
    </xf>
    <xf numFmtId="0" fontId="14" fillId="0" borderId="6" xfId="0" applyFont="1" applyBorder="1" applyAlignment="1">
      <alignment horizontal="center" vertical="center" wrapText="1"/>
    </xf>
    <xf numFmtId="0" fontId="8" fillId="0" borderId="0" xfId="0" applyFont="1"/>
    <xf numFmtId="0" fontId="14" fillId="10" borderId="13" xfId="0" applyFont="1" applyFill="1" applyBorder="1" applyAlignment="1">
      <alignment horizontal="center" vertical="center" wrapText="1"/>
    </xf>
    <xf numFmtId="0" fontId="14" fillId="10" borderId="16" xfId="0" applyFont="1" applyFill="1" applyBorder="1" applyAlignment="1">
      <alignment horizontal="center" vertical="center" wrapText="1"/>
    </xf>
    <xf numFmtId="0" fontId="14" fillId="10" borderId="20" xfId="0" applyFont="1" applyFill="1" applyBorder="1" applyAlignment="1">
      <alignment horizontal="center" vertical="center" wrapText="1"/>
    </xf>
    <xf numFmtId="0" fontId="24" fillId="12" borderId="17" xfId="0" applyFont="1" applyFill="1" applyBorder="1" applyAlignment="1">
      <alignment horizontal="left" vertical="center" wrapText="1"/>
    </xf>
    <xf numFmtId="0" fontId="24" fillId="12" borderId="18" xfId="0" applyFont="1" applyFill="1" applyBorder="1" applyAlignment="1">
      <alignment horizontal="left" vertical="center" wrapText="1"/>
    </xf>
    <xf numFmtId="0" fontId="24" fillId="12" borderId="0" xfId="0" applyFont="1" applyFill="1" applyAlignment="1">
      <alignment horizontal="left" vertical="center" wrapText="1"/>
    </xf>
    <xf numFmtId="0" fontId="14" fillId="10" borderId="21" xfId="0" applyFont="1" applyFill="1" applyBorder="1" applyAlignment="1">
      <alignment horizontal="center" vertical="center" wrapText="1"/>
    </xf>
    <xf numFmtId="0" fontId="14" fillId="10" borderId="8" xfId="0" applyFont="1" applyFill="1" applyBorder="1" applyAlignment="1">
      <alignment horizontal="center" vertical="center" wrapText="1"/>
    </xf>
    <xf numFmtId="0" fontId="17" fillId="10" borderId="19" xfId="0" applyFont="1" applyFill="1" applyBorder="1" applyAlignment="1">
      <alignment horizontal="center" vertical="center" wrapText="1"/>
    </xf>
    <xf numFmtId="0" fontId="17" fillId="10" borderId="16" xfId="0" applyFont="1" applyFill="1" applyBorder="1" applyAlignment="1">
      <alignment horizontal="center" vertical="center" wrapText="1"/>
    </xf>
    <xf numFmtId="0" fontId="17" fillId="10" borderId="20" xfId="0" applyFont="1" applyFill="1" applyBorder="1" applyAlignment="1">
      <alignment horizontal="center" vertical="center" wrapText="1"/>
    </xf>
    <xf numFmtId="0" fontId="14" fillId="10" borderId="1" xfId="0" applyFont="1" applyFill="1" applyBorder="1" applyAlignment="1">
      <alignment horizontal="center" vertical="center" wrapText="1"/>
    </xf>
    <xf numFmtId="0" fontId="14" fillId="10" borderId="15" xfId="0" applyFont="1" applyFill="1" applyBorder="1" applyAlignment="1">
      <alignment horizontal="center" vertical="center" wrapText="1"/>
    </xf>
    <xf numFmtId="0" fontId="14" fillId="10" borderId="0" xfId="0" applyFont="1" applyFill="1" applyAlignment="1">
      <alignment horizontal="center" vertical="center" wrapText="1"/>
    </xf>
    <xf numFmtId="0" fontId="14" fillId="10" borderId="46" xfId="0" applyFont="1" applyFill="1" applyBorder="1" applyAlignment="1">
      <alignment horizontal="center" vertical="center" wrapText="1"/>
    </xf>
    <xf numFmtId="0" fontId="18" fillId="10" borderId="16" xfId="0" applyFont="1" applyFill="1" applyBorder="1" applyAlignment="1">
      <alignment horizontal="center" vertical="center" wrapText="1"/>
    </xf>
    <xf numFmtId="0" fontId="18" fillId="10" borderId="15" xfId="0" applyFont="1" applyFill="1" applyBorder="1" applyAlignment="1">
      <alignment horizontal="center" vertical="center" wrapText="1"/>
    </xf>
    <xf numFmtId="0" fontId="27" fillId="13" borderId="7" xfId="0" applyFont="1" applyFill="1" applyBorder="1" applyAlignment="1">
      <alignment horizontal="center" vertical="center" wrapText="1"/>
    </xf>
    <xf numFmtId="0" fontId="13" fillId="14" borderId="24" xfId="0" applyFont="1" applyFill="1" applyBorder="1" applyAlignment="1">
      <alignment horizontal="left" vertical="center" wrapText="1"/>
    </xf>
    <xf numFmtId="0" fontId="13" fillId="14" borderId="25" xfId="0" applyFont="1" applyFill="1" applyBorder="1" applyAlignment="1">
      <alignment horizontal="left" vertical="center" wrapText="1"/>
    </xf>
    <xf numFmtId="0" fontId="14" fillId="10" borderId="23" xfId="0" applyFont="1" applyFill="1" applyBorder="1" applyAlignment="1">
      <alignment horizontal="center" vertical="center" wrapText="1"/>
    </xf>
    <xf numFmtId="0" fontId="13" fillId="14" borderId="17" xfId="0" applyFont="1" applyFill="1" applyBorder="1" applyAlignment="1">
      <alignment horizontal="left" vertical="center" wrapText="1"/>
    </xf>
    <xf numFmtId="0" fontId="27" fillId="13" borderId="6" xfId="0" applyFont="1" applyFill="1" applyBorder="1" applyAlignment="1">
      <alignment horizontal="center" vertical="center" wrapText="1"/>
    </xf>
    <xf numFmtId="0" fontId="14" fillId="10" borderId="54" xfId="0" applyFont="1" applyFill="1" applyBorder="1" applyAlignment="1">
      <alignment horizontal="center" vertical="center" wrapText="1"/>
    </xf>
    <xf numFmtId="0" fontId="14" fillId="10" borderId="57" xfId="0" applyFont="1" applyFill="1" applyBorder="1" applyAlignment="1">
      <alignment horizontal="center" vertical="center" wrapText="1"/>
    </xf>
    <xf numFmtId="0" fontId="14" fillId="10" borderId="55" xfId="0" applyFont="1" applyFill="1" applyBorder="1" applyAlignment="1">
      <alignment horizontal="center" vertical="center" wrapText="1"/>
    </xf>
    <xf numFmtId="0" fontId="17" fillId="10" borderId="56" xfId="0" applyFont="1" applyFill="1" applyBorder="1" applyAlignment="1">
      <alignment horizontal="center" vertical="center" wrapText="1"/>
    </xf>
    <xf numFmtId="0" fontId="17" fillId="10" borderId="58" xfId="0" applyFont="1" applyFill="1" applyBorder="1" applyAlignment="1">
      <alignment horizontal="center" vertical="center" wrapText="1"/>
    </xf>
    <xf numFmtId="0" fontId="14" fillId="10" borderId="3" xfId="0" applyFont="1" applyFill="1" applyBorder="1" applyAlignment="1">
      <alignment horizontal="center" vertical="center" wrapText="1"/>
    </xf>
    <xf numFmtId="0" fontId="14" fillId="10" borderId="18" xfId="0" applyFont="1" applyFill="1" applyBorder="1" applyAlignment="1">
      <alignment horizontal="center" vertical="center" wrapText="1"/>
    </xf>
    <xf numFmtId="0" fontId="18" fillId="10" borderId="13" xfId="0" applyFont="1" applyFill="1" applyBorder="1" applyAlignment="1">
      <alignment horizontal="center" vertical="center" wrapText="1"/>
    </xf>
    <xf numFmtId="0" fontId="17" fillId="0" borderId="6" xfId="0" applyFont="1" applyBorder="1" applyAlignment="1">
      <alignment horizontal="center"/>
    </xf>
    <xf numFmtId="0" fontId="27" fillId="13" borderId="28" xfId="0" applyFont="1" applyFill="1" applyBorder="1" applyAlignment="1">
      <alignment horizontal="center" vertical="center" wrapText="1"/>
    </xf>
    <xf numFmtId="0" fontId="24" fillId="11" borderId="2" xfId="0" applyFont="1" applyFill="1" applyBorder="1" applyAlignment="1">
      <alignment horizontal="left" vertical="center" wrapText="1"/>
    </xf>
    <xf numFmtId="0" fontId="14" fillId="3" borderId="24" xfId="0" applyFont="1" applyFill="1" applyBorder="1" applyAlignment="1">
      <alignment horizontal="center" vertical="center" wrapText="1"/>
    </xf>
    <xf numFmtId="0" fontId="27" fillId="13" borderId="28" xfId="0" applyFont="1" applyFill="1" applyBorder="1" applyAlignment="1">
      <alignment horizontal="center" vertical="center"/>
    </xf>
    <xf numFmtId="0" fontId="27" fillId="13" borderId="29" xfId="0" applyFont="1" applyFill="1" applyBorder="1" applyAlignment="1">
      <alignment horizontal="center" vertical="center" wrapText="1"/>
    </xf>
    <xf numFmtId="0" fontId="30" fillId="14" borderId="26" xfId="0" applyFont="1" applyFill="1" applyBorder="1" applyAlignment="1">
      <alignment horizontal="left"/>
    </xf>
    <xf numFmtId="0" fontId="0" fillId="14" borderId="6" xfId="0" applyFill="1" applyBorder="1" applyAlignment="1">
      <alignment horizontal="left"/>
    </xf>
    <xf numFmtId="0" fontId="27" fillId="0" borderId="24" xfId="0" applyFont="1" applyBorder="1" applyAlignment="1">
      <alignment horizontal="left" vertical="center" wrapText="1"/>
    </xf>
    <xf numFmtId="0" fontId="27" fillId="13" borderId="40" xfId="0" applyFont="1" applyFill="1" applyBorder="1" applyAlignment="1">
      <alignment horizontal="center" vertical="center" wrapText="1"/>
    </xf>
    <xf numFmtId="0" fontId="14" fillId="0" borderId="41" xfId="0" applyFont="1" applyBorder="1" applyAlignment="1">
      <alignment horizontal="center" vertical="center" wrapText="1"/>
    </xf>
    <xf numFmtId="0" fontId="14" fillId="0" borderId="43" xfId="0" applyFont="1" applyBorder="1" applyAlignment="1">
      <alignment horizontal="center" vertical="center" wrapText="1"/>
    </xf>
    <xf numFmtId="0" fontId="14" fillId="0" borderId="44" xfId="0" applyFont="1" applyBorder="1" applyAlignment="1">
      <alignment horizontal="center" vertical="center" wrapText="1"/>
    </xf>
    <xf numFmtId="0" fontId="17" fillId="0" borderId="7" xfId="0" applyFont="1" applyBorder="1" applyAlignment="1">
      <alignment horizontal="center"/>
    </xf>
    <xf numFmtId="0" fontId="17" fillId="0" borderId="21" xfId="0" applyFont="1" applyBorder="1" applyAlignment="1">
      <alignment horizontal="center"/>
    </xf>
    <xf numFmtId="0" fontId="17" fillId="0" borderId="8" xfId="0" applyFont="1" applyBorder="1" applyAlignment="1">
      <alignment horizontal="center"/>
    </xf>
    <xf numFmtId="0" fontId="14" fillId="0" borderId="22" xfId="0" applyFont="1" applyBorder="1" applyAlignment="1">
      <alignment horizontal="center" vertical="center" wrapText="1"/>
    </xf>
    <xf numFmtId="0" fontId="14" fillId="0" borderId="23" xfId="0" applyFont="1" applyBorder="1" applyAlignment="1">
      <alignment horizontal="center" vertical="center" wrapText="1"/>
    </xf>
    <xf numFmtId="0" fontId="14" fillId="0" borderId="42" xfId="0" applyFont="1" applyBorder="1" applyAlignment="1">
      <alignment horizontal="center" vertical="center" wrapText="1"/>
    </xf>
    <xf numFmtId="0" fontId="14" fillId="3" borderId="7" xfId="0" applyFont="1" applyFill="1" applyBorder="1" applyAlignment="1">
      <alignment horizontal="center" vertical="center" wrapText="1"/>
    </xf>
    <xf numFmtId="0" fontId="14" fillId="3" borderId="21" xfId="0" applyFont="1" applyFill="1" applyBorder="1" applyAlignment="1">
      <alignment horizontal="center" vertical="center" wrapText="1"/>
    </xf>
    <xf numFmtId="0" fontId="14" fillId="3" borderId="8" xfId="0" applyFont="1" applyFill="1" applyBorder="1" applyAlignment="1">
      <alignment horizontal="center" vertical="center" wrapText="1"/>
    </xf>
    <xf numFmtId="0" fontId="14" fillId="10" borderId="4" xfId="0" applyFont="1" applyFill="1" applyBorder="1" applyAlignment="1">
      <alignment horizontal="center" vertical="center" wrapText="1"/>
    </xf>
    <xf numFmtId="0" fontId="17" fillId="10" borderId="13" xfId="0" applyFont="1" applyFill="1" applyBorder="1" applyAlignment="1">
      <alignment horizontal="center" vertical="center" wrapText="1"/>
    </xf>
    <xf numFmtId="0" fontId="14" fillId="10" borderId="19" xfId="0" applyFont="1" applyFill="1" applyBorder="1" applyAlignment="1">
      <alignment horizontal="center" vertical="center" wrapText="1"/>
    </xf>
    <xf numFmtId="0" fontId="27" fillId="13" borderId="8" xfId="0" applyFont="1" applyFill="1" applyBorder="1" applyAlignment="1">
      <alignment horizontal="left" vertical="center" wrapText="1"/>
    </xf>
    <xf numFmtId="0" fontId="13" fillId="14" borderId="26" xfId="0" applyFont="1" applyFill="1" applyBorder="1" applyAlignment="1">
      <alignment horizontal="left" vertical="center" wrapText="1"/>
    </xf>
    <xf numFmtId="0" fontId="13" fillId="14" borderId="6" xfId="0" applyFont="1" applyFill="1" applyBorder="1" applyAlignment="1">
      <alignment horizontal="left" vertical="center" wrapText="1"/>
    </xf>
    <xf numFmtId="0" fontId="13" fillId="14" borderId="28" xfId="0" applyFont="1" applyFill="1" applyBorder="1" applyAlignment="1">
      <alignment horizontal="left" vertical="center" wrapText="1"/>
    </xf>
    <xf numFmtId="0" fontId="13" fillId="14" borderId="40" xfId="0" applyFont="1" applyFill="1" applyBorder="1" applyAlignment="1">
      <alignment horizontal="left" vertical="center" wrapText="1"/>
    </xf>
    <xf numFmtId="0" fontId="27" fillId="15" borderId="7" xfId="0" applyFont="1" applyFill="1" applyBorder="1" applyAlignment="1">
      <alignment horizontal="left" vertical="center" wrapText="1"/>
    </xf>
    <xf numFmtId="0" fontId="27" fillId="15" borderId="21" xfId="0" applyFont="1" applyFill="1" applyBorder="1" applyAlignment="1">
      <alignment horizontal="left" vertical="center" wrapText="1"/>
    </xf>
    <xf numFmtId="0" fontId="27" fillId="15" borderId="8" xfId="0" applyFont="1" applyFill="1" applyBorder="1" applyAlignment="1">
      <alignment horizontal="left" vertical="center" wrapText="1"/>
    </xf>
    <xf numFmtId="0" fontId="13" fillId="14" borderId="29" xfId="0" applyFont="1" applyFill="1" applyBorder="1" applyAlignment="1">
      <alignment horizontal="left" vertical="center" wrapText="1"/>
    </xf>
    <xf numFmtId="0" fontId="13" fillId="14" borderId="0" xfId="0" applyFont="1" applyFill="1" applyAlignment="1">
      <alignment horizontal="left" vertical="center" wrapText="1"/>
    </xf>
    <xf numFmtId="0" fontId="13" fillId="14" borderId="39" xfId="0" applyFont="1" applyFill="1" applyBorder="1" applyAlignment="1">
      <alignment horizontal="left" vertical="center" wrapText="1"/>
    </xf>
    <xf numFmtId="0" fontId="13" fillId="14" borderId="31" xfId="0" applyFont="1" applyFill="1" applyBorder="1" applyAlignment="1">
      <alignment horizontal="left" vertical="center" wrapText="1"/>
    </xf>
    <xf numFmtId="0" fontId="13" fillId="0" borderId="24" xfId="0" applyFont="1" applyBorder="1" applyAlignment="1">
      <alignment horizontal="center" vertical="center" wrapText="1"/>
    </xf>
    <xf numFmtId="0" fontId="13" fillId="0" borderId="26" xfId="0" applyFont="1" applyBorder="1" applyAlignment="1">
      <alignment horizontal="center" vertical="center" wrapText="1"/>
    </xf>
    <xf numFmtId="0" fontId="24" fillId="12" borderId="49" xfId="0" applyFont="1" applyFill="1" applyBorder="1" applyAlignment="1">
      <alignment horizontal="left" vertical="center" wrapText="1"/>
    </xf>
    <xf numFmtId="0" fontId="24" fillId="12" borderId="39" xfId="0" applyFont="1" applyFill="1" applyBorder="1" applyAlignment="1">
      <alignment horizontal="left" vertical="center" wrapText="1"/>
    </xf>
    <xf numFmtId="0" fontId="27" fillId="13" borderId="6" xfId="0" applyFont="1" applyFill="1" applyBorder="1" applyAlignment="1">
      <alignment horizontal="center" vertical="center"/>
    </xf>
    <xf numFmtId="0" fontId="27" fillId="13" borderId="8" xfId="0" applyFont="1" applyFill="1" applyBorder="1" applyAlignment="1">
      <alignment horizontal="center" vertical="center" wrapText="1"/>
    </xf>
    <xf numFmtId="0" fontId="14" fillId="10" borderId="24" xfId="0" applyFont="1" applyFill="1" applyBorder="1" applyAlignment="1">
      <alignment horizontal="center" vertical="center" wrapText="1"/>
    </xf>
    <xf numFmtId="0" fontId="14" fillId="10" borderId="25" xfId="0" applyFont="1" applyFill="1" applyBorder="1" applyAlignment="1">
      <alignment horizontal="center" vertical="center" wrapText="1"/>
    </xf>
    <xf numFmtId="0" fontId="14" fillId="10" borderId="26" xfId="0" applyFont="1" applyFill="1" applyBorder="1" applyAlignment="1">
      <alignment horizontal="center" vertical="center" wrapText="1"/>
    </xf>
    <xf numFmtId="0" fontId="24" fillId="12" borderId="6" xfId="0" applyFont="1" applyFill="1" applyBorder="1" applyAlignment="1">
      <alignment vertical="center" wrapText="1"/>
    </xf>
    <xf numFmtId="0" fontId="24" fillId="12" borderId="26" xfId="0" applyFont="1" applyFill="1" applyBorder="1" applyAlignment="1">
      <alignment vertical="center" wrapText="1"/>
    </xf>
    <xf numFmtId="0" fontId="8" fillId="0" borderId="0" xfId="0" applyFont="1" applyAlignment="1">
      <alignment vertical="top"/>
    </xf>
    <xf numFmtId="0" fontId="27" fillId="15" borderId="26" xfId="0" applyFont="1" applyFill="1" applyBorder="1" applyAlignment="1">
      <alignment vertical="center" wrapText="1"/>
    </xf>
    <xf numFmtId="0" fontId="13" fillId="14" borderId="6" xfId="0" applyFont="1" applyFill="1" applyBorder="1" applyAlignment="1">
      <alignment vertical="center" wrapText="1"/>
    </xf>
    <xf numFmtId="0" fontId="27" fillId="13" borderId="6" xfId="0" applyFont="1" applyFill="1" applyBorder="1" applyAlignment="1">
      <alignment vertical="center" wrapText="1"/>
    </xf>
    <xf numFmtId="0" fontId="27" fillId="13" borderId="25" xfId="0" applyFont="1" applyFill="1" applyBorder="1" applyAlignment="1">
      <alignment horizontal="center" vertical="center"/>
    </xf>
    <xf numFmtId="0" fontId="14" fillId="10" borderId="8" xfId="0" applyFont="1" applyFill="1" applyBorder="1" applyAlignment="1">
      <alignment vertical="center" wrapText="1"/>
    </xf>
    <xf numFmtId="0" fontId="14" fillId="10" borderId="6" xfId="0" applyFont="1" applyFill="1" applyBorder="1" applyAlignment="1">
      <alignment vertical="center" wrapText="1"/>
    </xf>
    <xf numFmtId="0" fontId="14" fillId="10" borderId="7" xfId="0" applyFont="1" applyFill="1" applyBorder="1" applyAlignment="1">
      <alignment vertical="center" wrapText="1"/>
    </xf>
    <xf numFmtId="0" fontId="14" fillId="10" borderId="25" xfId="0" applyFont="1" applyFill="1" applyBorder="1" applyAlignment="1">
      <alignment vertical="center" wrapText="1"/>
    </xf>
    <xf numFmtId="0" fontId="14" fillId="10" borderId="26" xfId="0" applyFont="1" applyFill="1" applyBorder="1" applyAlignment="1">
      <alignment vertical="center" wrapText="1"/>
    </xf>
    <xf numFmtId="0" fontId="17" fillId="10" borderId="6" xfId="0" applyFont="1" applyFill="1" applyBorder="1" applyAlignment="1">
      <alignment vertical="center" wrapText="1"/>
    </xf>
    <xf numFmtId="0" fontId="17" fillId="10" borderId="24" xfId="0" applyFont="1" applyFill="1" applyBorder="1" applyAlignment="1">
      <alignment vertical="center" wrapText="1"/>
    </xf>
    <xf numFmtId="0" fontId="18" fillId="10" borderId="7" xfId="0" applyFont="1" applyFill="1" applyBorder="1" applyAlignment="1">
      <alignment vertical="center" wrapText="1"/>
    </xf>
    <xf numFmtId="0" fontId="18" fillId="10" borderId="28" xfId="0" applyFont="1" applyFill="1" applyBorder="1" applyAlignment="1">
      <alignment vertical="center" wrapText="1"/>
    </xf>
    <xf numFmtId="0" fontId="14" fillId="3" borderId="6" xfId="0" applyFont="1" applyFill="1" applyBorder="1" applyAlignment="1">
      <alignment horizontal="center" vertical="center"/>
    </xf>
    <xf numFmtId="0" fontId="17" fillId="0" borderId="7" xfId="0" applyFont="1" applyBorder="1" applyAlignment="1">
      <alignment horizontal="center" vertical="center"/>
    </xf>
    <xf numFmtId="0" fontId="17" fillId="0" borderId="21" xfId="0" applyFont="1" applyBorder="1" applyAlignment="1">
      <alignment horizontal="center" vertical="center"/>
    </xf>
    <xf numFmtId="0" fontId="17" fillId="0" borderId="8" xfId="0" applyFont="1" applyBorder="1" applyAlignment="1">
      <alignment horizontal="center" vertical="center"/>
    </xf>
    <xf numFmtId="0" fontId="14" fillId="10" borderId="32" xfId="0" applyFont="1" applyFill="1" applyBorder="1" applyAlignment="1">
      <alignment vertical="center" wrapText="1"/>
    </xf>
    <xf numFmtId="0" fontId="14" fillId="10" borderId="39" xfId="0" applyFont="1" applyFill="1" applyBorder="1" applyAlignment="1">
      <alignment vertical="center" wrapText="1"/>
    </xf>
    <xf numFmtId="0" fontId="14" fillId="10" borderId="21" xfId="0" applyFont="1" applyFill="1" applyBorder="1" applyAlignment="1">
      <alignment vertical="center" wrapText="1"/>
    </xf>
    <xf numFmtId="0" fontId="31" fillId="0" borderId="24" xfId="0" applyFont="1" applyBorder="1" applyAlignment="1">
      <alignment horizontal="center" vertical="center" wrapText="1"/>
    </xf>
    <xf numFmtId="0" fontId="31" fillId="0" borderId="25" xfId="0" applyFont="1" applyBorder="1" applyAlignment="1">
      <alignment horizontal="center" vertical="center" wrapText="1"/>
    </xf>
    <xf numFmtId="0" fontId="31" fillId="0" borderId="26" xfId="0" applyFont="1" applyBorder="1" applyAlignment="1">
      <alignment horizontal="center" vertical="center" wrapText="1"/>
    </xf>
    <xf numFmtId="0" fontId="31" fillId="0" borderId="24" xfId="0" applyFont="1" applyBorder="1" applyAlignment="1">
      <alignment horizontal="center" vertical="center"/>
    </xf>
    <xf numFmtId="0" fontId="31" fillId="0" borderId="25" xfId="0" applyFont="1" applyBorder="1" applyAlignment="1">
      <alignment horizontal="center" vertical="center"/>
    </xf>
    <xf numFmtId="0" fontId="31" fillId="0" borderId="26" xfId="0" applyFont="1" applyBorder="1" applyAlignment="1">
      <alignment horizontal="center" vertical="center"/>
    </xf>
    <xf numFmtId="0" fontId="14" fillId="15" borderId="28" xfId="0" applyFont="1" applyFill="1" applyBorder="1" applyAlignment="1">
      <alignment horizontal="left" vertical="center" wrapText="1"/>
    </xf>
    <xf numFmtId="0" fontId="14" fillId="15" borderId="40" xfId="0" applyFont="1" applyFill="1" applyBorder="1" applyAlignment="1">
      <alignment horizontal="left" vertical="center" wrapText="1"/>
    </xf>
    <xf numFmtId="0" fontId="14" fillId="15" borderId="8" xfId="0" applyFont="1" applyFill="1" applyBorder="1" applyAlignment="1">
      <alignment horizontal="left" vertical="center" wrapText="1"/>
    </xf>
    <xf numFmtId="0" fontId="27" fillId="13" borderId="29" xfId="0" applyFont="1" applyFill="1" applyBorder="1" applyAlignment="1">
      <alignment horizontal="center" vertical="center"/>
    </xf>
    <xf numFmtId="0" fontId="13" fillId="8" borderId="24" xfId="0" applyFont="1" applyFill="1" applyBorder="1" applyAlignment="1">
      <alignment horizontal="center" vertical="center" wrapText="1"/>
    </xf>
    <xf numFmtId="0" fontId="13" fillId="8" borderId="26" xfId="0" applyFont="1" applyFill="1" applyBorder="1" applyAlignment="1">
      <alignment horizontal="center" vertical="center" wrapText="1"/>
    </xf>
    <xf numFmtId="0" fontId="13" fillId="14" borderId="27" xfId="0" applyFont="1" applyFill="1" applyBorder="1" applyAlignment="1">
      <alignment horizontal="left" vertical="center" wrapText="1"/>
    </xf>
    <xf numFmtId="0" fontId="31" fillId="0" borderId="32" xfId="0" applyFont="1" applyBorder="1" applyAlignment="1">
      <alignment horizontal="center" vertical="center" wrapText="1"/>
    </xf>
    <xf numFmtId="0" fontId="14" fillId="15" borderId="27" xfId="0" applyFont="1" applyFill="1" applyBorder="1" applyAlignment="1">
      <alignment horizontal="left" vertical="center" wrapText="1"/>
    </xf>
  </cellXfs>
  <cellStyles count="2">
    <cellStyle name="Hyperlink" xfId="1" xr:uid="{00000000-0005-0000-0000-000000000000}"/>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8</xdr:col>
      <xdr:colOff>19050</xdr:colOff>
      <xdr:row>40</xdr:row>
      <xdr:rowOff>1266825</xdr:rowOff>
    </xdr:from>
    <xdr:to>
      <xdr:col>8</xdr:col>
      <xdr:colOff>1254125</xdr:colOff>
      <xdr:row>41</xdr:row>
      <xdr:rowOff>714375</xdr:rowOff>
    </xdr:to>
    <xdr:pic>
      <xdr:nvPicPr>
        <xdr:cNvPr id="2" name="Ảnh 1">
          <a:extLst>
            <a:ext uri="{FF2B5EF4-FFF2-40B4-BE49-F238E27FC236}">
              <a16:creationId xmlns:a16="http://schemas.microsoft.com/office/drawing/2014/main" id="{12E68F3A-E70B-D0C7-671E-692561FD3DAC}"/>
            </a:ext>
          </a:extLst>
        </xdr:cNvPr>
        <xdr:cNvPicPr>
          <a:picLocks noChangeAspect="1"/>
        </xdr:cNvPicPr>
      </xdr:nvPicPr>
      <xdr:blipFill>
        <a:blip xmlns:r="http://schemas.openxmlformats.org/officeDocument/2006/relationships" r:embed="rId1"/>
        <a:stretch>
          <a:fillRect/>
        </a:stretch>
      </xdr:blipFill>
      <xdr:spPr>
        <a:xfrm>
          <a:off x="14897100" y="21602700"/>
          <a:ext cx="1409700" cy="752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0</xdr:colOff>
      <xdr:row>28</xdr:row>
      <xdr:rowOff>0</xdr:rowOff>
    </xdr:from>
    <xdr:to>
      <xdr:col>9</xdr:col>
      <xdr:colOff>9525</xdr:colOff>
      <xdr:row>28</xdr:row>
      <xdr:rowOff>657225</xdr:rowOff>
    </xdr:to>
    <xdr:pic>
      <xdr:nvPicPr>
        <xdr:cNvPr id="3" name="Ảnh 2">
          <a:extLst>
            <a:ext uri="{FF2B5EF4-FFF2-40B4-BE49-F238E27FC236}">
              <a16:creationId xmlns:a16="http://schemas.microsoft.com/office/drawing/2014/main" id="{26C53966-F42C-37A1-B850-9A92991C9A2D}"/>
            </a:ext>
            <a:ext uri="{147F2762-F138-4A5C-976F-8EAC2B608ADB}">
              <a16:predDERef xmlns:a16="http://schemas.microsoft.com/office/drawing/2014/main" pred="{E9F704EA-61B0-49F4-B5A5-CAA89E32E668}"/>
            </a:ext>
          </a:extLst>
        </xdr:cNvPr>
        <xdr:cNvPicPr>
          <a:picLocks noChangeAspect="1"/>
        </xdr:cNvPicPr>
      </xdr:nvPicPr>
      <xdr:blipFill>
        <a:blip xmlns:r="http://schemas.openxmlformats.org/officeDocument/2006/relationships" r:embed="rId1"/>
        <a:stretch>
          <a:fillRect/>
        </a:stretch>
      </xdr:blipFill>
      <xdr:spPr>
        <a:xfrm>
          <a:off x="14878050" y="15878175"/>
          <a:ext cx="1400175" cy="657225"/>
        </a:xfrm>
        <a:prstGeom prst="rect">
          <a:avLst/>
        </a:prstGeom>
      </xdr:spPr>
    </xdr:pic>
    <xdr:clientData/>
  </xdr:twoCellAnchor>
  <xdr:twoCellAnchor editAs="oneCell">
    <xdr:from>
      <xdr:col>8</xdr:col>
      <xdr:colOff>0</xdr:colOff>
      <xdr:row>37</xdr:row>
      <xdr:rowOff>1266825</xdr:rowOff>
    </xdr:from>
    <xdr:to>
      <xdr:col>9</xdr:col>
      <xdr:colOff>0</xdr:colOff>
      <xdr:row>38</xdr:row>
      <xdr:rowOff>285750</xdr:rowOff>
    </xdr:to>
    <xdr:pic>
      <xdr:nvPicPr>
        <xdr:cNvPr id="4" name="Ảnh 3">
          <a:extLst>
            <a:ext uri="{FF2B5EF4-FFF2-40B4-BE49-F238E27FC236}">
              <a16:creationId xmlns:a16="http://schemas.microsoft.com/office/drawing/2014/main" id="{A1CC51AF-6AB6-FB6A-4B57-209560A39793}"/>
            </a:ext>
            <a:ext uri="{147F2762-F138-4A5C-976F-8EAC2B608ADB}">
              <a16:predDERef xmlns:a16="http://schemas.microsoft.com/office/drawing/2014/main" pred="{26C53966-F42C-37A1-B850-9A92991C9A2D}"/>
            </a:ext>
          </a:extLst>
        </xdr:cNvPr>
        <xdr:cNvPicPr>
          <a:picLocks noChangeAspect="1"/>
        </xdr:cNvPicPr>
      </xdr:nvPicPr>
      <xdr:blipFill>
        <a:blip xmlns:r="http://schemas.openxmlformats.org/officeDocument/2006/relationships" r:embed="rId2"/>
        <a:stretch>
          <a:fillRect/>
        </a:stretch>
      </xdr:blipFill>
      <xdr:spPr>
        <a:xfrm>
          <a:off x="14878050" y="27231975"/>
          <a:ext cx="1409700" cy="295275"/>
        </a:xfrm>
        <a:prstGeom prst="rect">
          <a:avLst/>
        </a:prstGeom>
      </xdr:spPr>
    </xdr:pic>
    <xdr:clientData/>
  </xdr:twoCellAnchor>
  <xdr:twoCellAnchor editAs="oneCell">
    <xdr:from>
      <xdr:col>12</xdr:col>
      <xdr:colOff>0</xdr:colOff>
      <xdr:row>28</xdr:row>
      <xdr:rowOff>0</xdr:rowOff>
    </xdr:from>
    <xdr:to>
      <xdr:col>13</xdr:col>
      <xdr:colOff>9525</xdr:colOff>
      <xdr:row>28</xdr:row>
      <xdr:rowOff>657225</xdr:rowOff>
    </xdr:to>
    <xdr:pic>
      <xdr:nvPicPr>
        <xdr:cNvPr id="2" name="Ảnh 2">
          <a:extLst>
            <a:ext uri="{FF2B5EF4-FFF2-40B4-BE49-F238E27FC236}">
              <a16:creationId xmlns:a16="http://schemas.microsoft.com/office/drawing/2014/main" id="{43C8F374-E22F-45B3-ADC3-F15B42A55A9C}"/>
            </a:ext>
            <a:ext uri="{147F2762-F138-4A5C-976F-8EAC2B608ADB}">
              <a16:predDERef xmlns:a16="http://schemas.microsoft.com/office/drawing/2014/main" pred="{A1CC51AF-6AB6-FB6A-4B57-209560A39793}"/>
            </a:ext>
          </a:extLst>
        </xdr:cNvPr>
        <xdr:cNvPicPr>
          <a:picLocks noChangeAspect="1"/>
        </xdr:cNvPicPr>
      </xdr:nvPicPr>
      <xdr:blipFill>
        <a:blip xmlns:r="http://schemas.openxmlformats.org/officeDocument/2006/relationships" r:embed="rId1"/>
        <a:stretch>
          <a:fillRect/>
        </a:stretch>
      </xdr:blipFill>
      <xdr:spPr>
        <a:xfrm>
          <a:off x="13011150" y="15201900"/>
          <a:ext cx="1266825" cy="6572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30</xdr:row>
      <xdr:rowOff>0</xdr:rowOff>
    </xdr:from>
    <xdr:to>
      <xdr:col>9</xdr:col>
      <xdr:colOff>3175</xdr:colOff>
      <xdr:row>30</xdr:row>
      <xdr:rowOff>533400</xdr:rowOff>
    </xdr:to>
    <xdr:pic>
      <xdr:nvPicPr>
        <xdr:cNvPr id="2" name="Ảnh 1">
          <a:extLst>
            <a:ext uri="{FF2B5EF4-FFF2-40B4-BE49-F238E27FC236}">
              <a16:creationId xmlns:a16="http://schemas.microsoft.com/office/drawing/2014/main" id="{347E16F1-388B-DA54-012A-05D9BC1E511C}"/>
            </a:ext>
          </a:extLst>
        </xdr:cNvPr>
        <xdr:cNvPicPr>
          <a:picLocks noChangeAspect="1"/>
        </xdr:cNvPicPr>
      </xdr:nvPicPr>
      <xdr:blipFill>
        <a:blip xmlns:r="http://schemas.openxmlformats.org/officeDocument/2006/relationships" r:embed="rId1"/>
        <a:stretch>
          <a:fillRect/>
        </a:stretch>
      </xdr:blipFill>
      <xdr:spPr>
        <a:xfrm>
          <a:off x="14878050" y="13782675"/>
          <a:ext cx="1400175" cy="533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9"/>
  </sheetPr>
  <dimension ref="A1:Q20"/>
  <sheetViews>
    <sheetView showGridLines="0" tabSelected="1" workbookViewId="0">
      <selection activeCell="C23" sqref="C23"/>
    </sheetView>
  </sheetViews>
  <sheetFormatPr defaultColWidth="8.796875" defaultRowHeight="13.8" x14ac:dyDescent="0.25"/>
  <cols>
    <col min="2" max="2" width="19.69921875" customWidth="1"/>
    <col min="3" max="3" width="18.69921875" customWidth="1"/>
    <col min="4" max="4" width="28.19921875" customWidth="1"/>
    <col min="5" max="5" width="21.5" customWidth="1"/>
    <col min="6" max="6" width="15" customWidth="1"/>
    <col min="7" max="7" width="17.796875" customWidth="1"/>
    <col min="8" max="8" width="17.19921875" customWidth="1"/>
  </cols>
  <sheetData>
    <row r="1" spans="1:17" ht="15.6" x14ac:dyDescent="0.3">
      <c r="A1" s="1"/>
      <c r="B1" s="1"/>
      <c r="C1" s="1"/>
      <c r="D1" s="1"/>
      <c r="E1" s="1"/>
      <c r="F1" s="1"/>
      <c r="G1" s="1"/>
      <c r="H1" s="1"/>
      <c r="I1" s="1"/>
      <c r="J1" s="1"/>
      <c r="K1" s="1"/>
      <c r="L1" s="1"/>
      <c r="M1" s="1"/>
      <c r="N1" s="1"/>
      <c r="O1" s="1"/>
      <c r="P1" s="1"/>
      <c r="Q1" s="1"/>
    </row>
    <row r="2" spans="1:17" ht="24.6" x14ac:dyDescent="0.4">
      <c r="A2" s="1"/>
      <c r="B2" s="333" t="s">
        <v>0</v>
      </c>
      <c r="C2" s="333"/>
      <c r="D2" s="333"/>
      <c r="E2" s="333"/>
      <c r="F2" s="333"/>
      <c r="G2" s="333"/>
      <c r="H2" s="333"/>
      <c r="I2" s="1"/>
      <c r="J2" s="1"/>
      <c r="K2" s="1"/>
      <c r="L2" s="1"/>
      <c r="M2" s="1"/>
      <c r="N2" s="1"/>
      <c r="O2" s="1"/>
      <c r="P2" s="1"/>
      <c r="Q2" s="1"/>
    </row>
    <row r="3" spans="1:17" ht="15.75" customHeight="1" x14ac:dyDescent="0.3">
      <c r="A3" s="1"/>
      <c r="B3" s="25" t="s">
        <v>1</v>
      </c>
      <c r="C3" s="334" t="s">
        <v>2</v>
      </c>
      <c r="D3" s="335"/>
      <c r="E3" s="335"/>
      <c r="F3" s="26"/>
      <c r="G3" s="25" t="s">
        <v>3</v>
      </c>
      <c r="H3" s="27" t="s">
        <v>4</v>
      </c>
      <c r="I3" s="1"/>
      <c r="J3" s="1"/>
      <c r="K3" s="1"/>
      <c r="L3" s="1"/>
      <c r="M3" s="1"/>
      <c r="N3" s="1"/>
      <c r="O3" s="1"/>
      <c r="P3" s="1"/>
      <c r="Q3" s="1"/>
    </row>
    <row r="4" spans="1:17" ht="15.75" customHeight="1" x14ac:dyDescent="0.3">
      <c r="A4" s="1"/>
      <c r="B4" s="25" t="s">
        <v>5</v>
      </c>
      <c r="C4" s="335" t="s">
        <v>6</v>
      </c>
      <c r="D4" s="335"/>
      <c r="E4" s="335"/>
      <c r="F4" s="26"/>
      <c r="G4" s="25" t="s">
        <v>7</v>
      </c>
      <c r="H4" s="27"/>
      <c r="I4" s="1"/>
      <c r="J4" s="1"/>
      <c r="K4" s="1"/>
      <c r="L4" s="1"/>
      <c r="M4" s="1"/>
      <c r="N4" s="1"/>
      <c r="O4" s="1"/>
      <c r="P4" s="1"/>
      <c r="Q4" s="1"/>
    </row>
    <row r="5" spans="1:17" ht="15.75" customHeight="1" x14ac:dyDescent="0.3">
      <c r="A5" s="1"/>
      <c r="B5" s="337" t="s">
        <v>8</v>
      </c>
      <c r="C5" s="336" t="s">
        <v>9</v>
      </c>
      <c r="D5" s="336"/>
      <c r="E5" s="336"/>
      <c r="F5" s="27"/>
      <c r="G5" s="337" t="s">
        <v>10</v>
      </c>
      <c r="H5" s="336" t="s">
        <v>11</v>
      </c>
      <c r="I5" s="1"/>
      <c r="J5" s="1"/>
      <c r="K5" s="1"/>
      <c r="L5" s="1"/>
      <c r="M5" s="1"/>
      <c r="N5" s="1"/>
      <c r="O5" s="1"/>
      <c r="P5" s="1"/>
      <c r="Q5" s="1"/>
    </row>
    <row r="6" spans="1:17" ht="15.75" customHeight="1" x14ac:dyDescent="0.3">
      <c r="A6" s="1"/>
      <c r="B6" s="337"/>
      <c r="C6" s="338"/>
      <c r="D6" s="338"/>
      <c r="E6" s="338"/>
      <c r="F6" s="27"/>
      <c r="G6" s="337"/>
      <c r="H6" s="336"/>
      <c r="I6" s="1"/>
      <c r="J6" s="1"/>
      <c r="K6" s="1"/>
      <c r="L6" s="1"/>
      <c r="M6" s="1"/>
      <c r="N6" s="1"/>
      <c r="O6" s="1"/>
      <c r="P6" s="1"/>
      <c r="Q6" s="1"/>
    </row>
    <row r="7" spans="1:17" ht="15.6" x14ac:dyDescent="0.3">
      <c r="A7" s="1"/>
      <c r="B7" s="25" t="s">
        <v>12</v>
      </c>
      <c r="C7" s="335" t="s">
        <v>13</v>
      </c>
      <c r="D7" s="335"/>
      <c r="E7" s="335"/>
      <c r="F7" s="26"/>
      <c r="G7" s="25" t="s">
        <v>14</v>
      </c>
      <c r="H7" s="27"/>
      <c r="I7" s="1"/>
      <c r="J7" s="1"/>
      <c r="K7" s="1"/>
      <c r="L7" s="1"/>
      <c r="M7" s="1"/>
      <c r="N7" s="1"/>
      <c r="O7" s="1"/>
      <c r="P7" s="1"/>
      <c r="Q7" s="1"/>
    </row>
    <row r="8" spans="1:17" ht="15.6" x14ac:dyDescent="0.3">
      <c r="A8" s="1"/>
      <c r="B8" s="28" t="s">
        <v>15</v>
      </c>
      <c r="C8" s="332" t="s">
        <v>16</v>
      </c>
      <c r="D8" s="332"/>
      <c r="E8" s="332"/>
      <c r="F8" s="332"/>
      <c r="G8" s="332"/>
      <c r="H8" s="332"/>
      <c r="I8" s="1"/>
      <c r="J8" s="1"/>
      <c r="K8" s="1"/>
      <c r="L8" s="1"/>
      <c r="M8" s="1"/>
      <c r="N8" s="1"/>
      <c r="O8" s="1"/>
      <c r="P8" s="1"/>
      <c r="Q8" s="1"/>
    </row>
    <row r="9" spans="1:17" ht="15.6" x14ac:dyDescent="0.3">
      <c r="A9" s="1"/>
      <c r="B9" s="329"/>
      <c r="C9" s="329"/>
      <c r="D9" s="329"/>
      <c r="E9" s="329"/>
      <c r="F9" s="329"/>
      <c r="G9" s="329"/>
      <c r="H9" s="329"/>
      <c r="I9" s="1"/>
      <c r="J9" s="1"/>
      <c r="K9" s="1"/>
      <c r="L9" s="1"/>
      <c r="M9" s="1"/>
      <c r="N9" s="1"/>
      <c r="O9" s="1"/>
      <c r="P9" s="1"/>
      <c r="Q9" s="1"/>
    </row>
    <row r="10" spans="1:17" ht="15.6" x14ac:dyDescent="0.3">
      <c r="A10" s="2"/>
      <c r="B10" s="2"/>
      <c r="C10" s="2"/>
      <c r="D10" s="2"/>
      <c r="E10" s="2"/>
      <c r="F10" s="2"/>
      <c r="G10" s="2"/>
      <c r="H10" s="2"/>
      <c r="I10" s="1"/>
      <c r="J10" s="1"/>
      <c r="K10" s="1"/>
      <c r="L10" s="1"/>
      <c r="M10" s="1"/>
      <c r="N10" s="1"/>
      <c r="O10" s="1"/>
      <c r="P10" s="1"/>
      <c r="Q10" s="2"/>
    </row>
    <row r="11" spans="1:17" ht="15.6" x14ac:dyDescent="0.3">
      <c r="A11" s="2"/>
      <c r="B11" s="2"/>
      <c r="C11" s="2"/>
      <c r="D11" s="2"/>
      <c r="E11" s="2"/>
      <c r="F11" s="2"/>
      <c r="G11" s="2"/>
      <c r="H11" s="2"/>
      <c r="I11" s="1"/>
      <c r="J11" s="1"/>
      <c r="K11" s="1"/>
      <c r="L11" s="1"/>
      <c r="M11" s="1"/>
      <c r="N11" s="1"/>
      <c r="O11" s="1"/>
      <c r="P11" s="1"/>
      <c r="Q11" s="2"/>
    </row>
    <row r="14" spans="1:17" ht="20.399999999999999" x14ac:dyDescent="0.35">
      <c r="B14" s="3"/>
      <c r="C14" s="4"/>
    </row>
    <row r="15" spans="1:17" x14ac:dyDescent="0.25">
      <c r="A15" s="327"/>
      <c r="B15" s="327"/>
      <c r="C15" s="5"/>
      <c r="D15" s="5"/>
      <c r="E15" s="5"/>
      <c r="F15" s="5"/>
      <c r="G15" s="5"/>
      <c r="H15" s="6"/>
    </row>
    <row r="16" spans="1:17" ht="17.399999999999999" x14ac:dyDescent="0.3">
      <c r="A16" s="6"/>
      <c r="B16" s="330" t="s">
        <v>17</v>
      </c>
      <c r="C16" s="330"/>
      <c r="D16" s="7"/>
      <c r="E16" s="7"/>
      <c r="F16" s="7"/>
      <c r="G16" s="7"/>
      <c r="H16" s="7"/>
    </row>
    <row r="17" spans="1:8" ht="15.6" x14ac:dyDescent="0.25">
      <c r="A17" s="5"/>
      <c r="B17" s="29" t="s">
        <v>18</v>
      </c>
      <c r="C17" s="331" t="s">
        <v>19</v>
      </c>
      <c r="D17" s="331"/>
      <c r="E17" s="29" t="s">
        <v>20</v>
      </c>
      <c r="F17" s="29" t="s">
        <v>12</v>
      </c>
      <c r="G17" s="29" t="s">
        <v>21</v>
      </c>
      <c r="H17" s="29" t="s">
        <v>22</v>
      </c>
    </row>
    <row r="18" spans="1:8" ht="15.75" customHeight="1" x14ac:dyDescent="0.25">
      <c r="A18" s="5"/>
      <c r="B18" s="30">
        <v>1</v>
      </c>
      <c r="C18" s="328"/>
      <c r="D18" s="328"/>
      <c r="E18" s="30"/>
      <c r="F18" s="30"/>
      <c r="G18" s="30"/>
      <c r="H18" s="30"/>
    </row>
    <row r="19" spans="1:8" ht="15.6" x14ac:dyDescent="0.25">
      <c r="A19" s="5"/>
      <c r="B19" s="30">
        <v>2</v>
      </c>
      <c r="C19" s="328"/>
      <c r="D19" s="328"/>
      <c r="E19" s="30"/>
      <c r="F19" s="30"/>
      <c r="G19" s="31"/>
      <c r="H19" s="30"/>
    </row>
    <row r="20" spans="1:8" x14ac:dyDescent="0.25">
      <c r="A20" s="327"/>
      <c r="B20" s="327"/>
      <c r="C20" s="8"/>
      <c r="D20" s="8"/>
      <c r="E20" s="8"/>
      <c r="F20" s="8"/>
      <c r="G20" s="8"/>
      <c r="H20" s="5"/>
    </row>
  </sheetData>
  <mergeCells count="17">
    <mergeCell ref="C8:H8"/>
    <mergeCell ref="B2:H2"/>
    <mergeCell ref="C3:E3"/>
    <mergeCell ref="C4:E4"/>
    <mergeCell ref="C5:E5"/>
    <mergeCell ref="C7:E7"/>
    <mergeCell ref="B5:B6"/>
    <mergeCell ref="C6:E6"/>
    <mergeCell ref="G5:G6"/>
    <mergeCell ref="H5:H6"/>
    <mergeCell ref="A20:B20"/>
    <mergeCell ref="C19:D19"/>
    <mergeCell ref="B9:H9"/>
    <mergeCell ref="A15:B15"/>
    <mergeCell ref="B16:C16"/>
    <mergeCell ref="C17:D17"/>
    <mergeCell ref="C18:D18"/>
  </mergeCell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9"/>
  </sheetPr>
  <dimension ref="A7:L16"/>
  <sheetViews>
    <sheetView showGridLines="0" workbookViewId="0">
      <selection activeCell="D15" sqref="D15:E15"/>
    </sheetView>
  </sheetViews>
  <sheetFormatPr defaultColWidth="8.796875" defaultRowHeight="13.8" x14ac:dyDescent="0.25"/>
  <cols>
    <col min="2" max="2" width="5.796875" customWidth="1"/>
    <col min="3" max="3" width="33.5" customWidth="1"/>
    <col min="4" max="4" width="18.19921875" customWidth="1"/>
    <col min="5" max="5" width="15.19921875" customWidth="1"/>
    <col min="6" max="7" width="17.5" customWidth="1"/>
    <col min="8" max="8" width="23" customWidth="1"/>
  </cols>
  <sheetData>
    <row r="7" spans="1:12" ht="20.399999999999999" x14ac:dyDescent="0.25">
      <c r="B7" s="339" t="s">
        <v>31</v>
      </c>
      <c r="C7" s="339"/>
      <c r="D7" s="339"/>
    </row>
    <row r="8" spans="1:12" x14ac:dyDescent="0.25">
      <c r="A8" s="10"/>
      <c r="B8" s="342"/>
      <c r="C8" s="342"/>
      <c r="D8" s="10"/>
      <c r="E8" s="10"/>
      <c r="F8" s="11"/>
      <c r="G8" s="11"/>
      <c r="H8" s="11"/>
      <c r="I8" s="10"/>
    </row>
    <row r="9" spans="1:12" ht="17.399999999999999" x14ac:dyDescent="0.25">
      <c r="A9" s="10"/>
      <c r="B9" s="33" t="s">
        <v>32</v>
      </c>
      <c r="C9" s="33" t="s">
        <v>33</v>
      </c>
      <c r="D9" s="343" t="s">
        <v>34</v>
      </c>
      <c r="E9" s="343"/>
      <c r="F9" s="344" t="s">
        <v>35</v>
      </c>
      <c r="G9" s="344"/>
      <c r="H9" s="344"/>
      <c r="I9" s="10"/>
    </row>
    <row r="10" spans="1:12" ht="15.6" x14ac:dyDescent="0.25">
      <c r="B10" s="34">
        <v>1</v>
      </c>
      <c r="C10" s="35" t="s">
        <v>36</v>
      </c>
      <c r="D10" s="340" t="s">
        <v>36</v>
      </c>
      <c r="E10" s="341"/>
      <c r="F10" s="345" t="s">
        <v>37</v>
      </c>
      <c r="G10" s="345"/>
      <c r="H10" s="345"/>
    </row>
    <row r="11" spans="1:12" ht="30" customHeight="1" x14ac:dyDescent="0.25">
      <c r="B11" s="34">
        <v>2</v>
      </c>
      <c r="C11" s="35" t="s">
        <v>38</v>
      </c>
      <c r="D11" s="340" t="s">
        <v>38</v>
      </c>
      <c r="E11" s="341"/>
      <c r="F11" s="348" t="s">
        <v>39</v>
      </c>
      <c r="G11" s="348"/>
      <c r="H11" s="348"/>
    </row>
    <row r="12" spans="1:12" ht="15.6" x14ac:dyDescent="0.25">
      <c r="B12" s="34">
        <v>3</v>
      </c>
      <c r="C12" s="89" t="s">
        <v>40</v>
      </c>
      <c r="D12" s="352" t="s">
        <v>40</v>
      </c>
      <c r="E12" s="352"/>
      <c r="F12" s="345"/>
      <c r="G12" s="345"/>
      <c r="H12" s="345"/>
    </row>
    <row r="13" spans="1:12" ht="15.6" x14ac:dyDescent="0.25">
      <c r="B13" s="34">
        <v>4</v>
      </c>
      <c r="C13" s="89" t="s">
        <v>41</v>
      </c>
      <c r="D13" s="352" t="s">
        <v>328</v>
      </c>
      <c r="E13" s="352"/>
      <c r="F13" s="345" t="s">
        <v>42</v>
      </c>
      <c r="G13" s="345"/>
      <c r="H13" s="345"/>
    </row>
    <row r="14" spans="1:12" ht="35.549999999999997" customHeight="1" x14ac:dyDescent="0.25">
      <c r="B14" s="34">
        <v>5</v>
      </c>
      <c r="C14" s="89" t="s">
        <v>355</v>
      </c>
      <c r="D14" s="352" t="s">
        <v>355</v>
      </c>
      <c r="E14" s="352"/>
      <c r="F14" s="345" t="s">
        <v>43</v>
      </c>
      <c r="G14" s="345"/>
      <c r="H14" s="345"/>
      <c r="J14" s="346"/>
      <c r="K14" s="346"/>
      <c r="L14" s="346"/>
    </row>
    <row r="15" spans="1:12" ht="33.6" customHeight="1" x14ac:dyDescent="0.25">
      <c r="B15" s="34">
        <v>6</v>
      </c>
      <c r="C15" s="89" t="s">
        <v>461</v>
      </c>
      <c r="D15" s="352" t="s">
        <v>461</v>
      </c>
      <c r="E15" s="352"/>
      <c r="F15" s="345" t="s">
        <v>44</v>
      </c>
      <c r="G15" s="345"/>
      <c r="H15" s="345"/>
    </row>
    <row r="16" spans="1:12" ht="15.6" x14ac:dyDescent="0.25">
      <c r="B16" s="34">
        <v>7</v>
      </c>
      <c r="C16" s="35" t="s">
        <v>45</v>
      </c>
      <c r="D16" s="347" t="s">
        <v>45</v>
      </c>
      <c r="E16" s="347"/>
      <c r="F16" s="349" t="s">
        <v>46</v>
      </c>
      <c r="G16" s="350"/>
      <c r="H16" s="351"/>
    </row>
  </sheetData>
  <mergeCells count="19">
    <mergeCell ref="J14:L14"/>
    <mergeCell ref="D16:E16"/>
    <mergeCell ref="F11:H11"/>
    <mergeCell ref="F12:H12"/>
    <mergeCell ref="F14:H14"/>
    <mergeCell ref="F15:H15"/>
    <mergeCell ref="F16:H16"/>
    <mergeCell ref="D12:E12"/>
    <mergeCell ref="D14:E14"/>
    <mergeCell ref="D15:E15"/>
    <mergeCell ref="D13:E13"/>
    <mergeCell ref="F13:H13"/>
    <mergeCell ref="B7:D7"/>
    <mergeCell ref="D11:E11"/>
    <mergeCell ref="B8:C8"/>
    <mergeCell ref="D9:E9"/>
    <mergeCell ref="F9:H9"/>
    <mergeCell ref="D10:E10"/>
    <mergeCell ref="F10:H10"/>
  </mergeCells>
  <hyperlinks>
    <hyperlink ref="D11:E11" location="'Đăng nhập'!A15" display="Đăng nhập" xr:uid="{7113A1D6-724A-4B19-871C-BC9942533EB8}"/>
    <hyperlink ref="D10:E10" location="'Đăng ký'!A1" display="Đăng ký" xr:uid="{35B62F02-F701-438E-8F31-926ECFC00901}"/>
    <hyperlink ref="D12:E12" location="'Thay đổi thông tin người dùng'!A1" display="Thay đổi thông tin người dùng" xr:uid="{06294B37-E56A-445F-9338-5E2C471B965C}"/>
    <hyperlink ref="D13:E13" location="'Quản lý từ điển'!A1" display="Quản lý từ điển" xr:uid="{24DC2A28-7DCB-4758-918E-897587D3FEEA}"/>
    <hyperlink ref="D14:E14" location="'Quản lý mục tiêu '!A1" display="Quản lý mục tiêu" xr:uid="{308013FD-78CA-4D90-B8D5-BAEA6BBCD81B}"/>
    <hyperlink ref="D15:E15" location="'Quản lý thư viện'!A1" display="Quản lý thư viện" xr:uid="{91B44D11-8BDA-4F00-A42A-63B6F8B90C17}"/>
    <hyperlink ref="D16:E16" location="'Tìm kiếm sách'!A1" display="Tìm kiếm sách" xr:uid="{AFE889C4-E4D9-456C-8EF9-331DF563B9A5}"/>
  </hyperlinks>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5" tint="-0.499984740745262"/>
  </sheetPr>
  <dimension ref="A1:U61"/>
  <sheetViews>
    <sheetView showGridLines="0" topLeftCell="A15" zoomScale="40" zoomScaleNormal="40" workbookViewId="0">
      <selection activeCell="A15" sqref="A15"/>
    </sheetView>
  </sheetViews>
  <sheetFormatPr defaultColWidth="8.796875" defaultRowHeight="15" x14ac:dyDescent="0.25"/>
  <cols>
    <col min="2" max="2" width="17.69921875" style="67" customWidth="1"/>
    <col min="3" max="3" width="31.5" customWidth="1"/>
    <col min="4" max="4" width="30.69921875" customWidth="1"/>
    <col min="5" max="5" width="30.69921875" style="151" customWidth="1"/>
    <col min="6" max="6" width="28" style="61" customWidth="1"/>
    <col min="7" max="7" width="28.796875" customWidth="1"/>
    <col min="8" max="8" width="18.796875" style="156" customWidth="1"/>
    <col min="9" max="9" width="18.796875" customWidth="1"/>
    <col min="10" max="10" width="18.796875" style="199" customWidth="1"/>
    <col min="11" max="11" width="12.69921875" style="23" customWidth="1"/>
    <col min="12" max="12" width="18.796875" style="156" customWidth="1"/>
    <col min="13" max="13" width="18.796875" customWidth="1"/>
    <col min="14" max="14" width="18.796875" style="199" customWidth="1"/>
    <col min="15" max="17" width="27.5" customWidth="1"/>
    <col min="18" max="18" width="12.5" style="23" customWidth="1"/>
    <col min="19" max="19" width="27.19921875" customWidth="1"/>
    <col min="20" max="21" width="22.796875" customWidth="1"/>
  </cols>
  <sheetData>
    <row r="1" spans="1:21" ht="15.6" x14ac:dyDescent="0.3">
      <c r="A1" s="12"/>
      <c r="B1" s="63"/>
      <c r="C1" s="12"/>
      <c r="D1" s="12"/>
      <c r="E1" s="149"/>
      <c r="F1" s="59"/>
      <c r="G1" s="12"/>
      <c r="H1" s="152"/>
      <c r="I1" s="12"/>
      <c r="J1" s="152"/>
      <c r="K1" s="2"/>
      <c r="L1" s="152"/>
      <c r="M1" s="12"/>
      <c r="N1" s="152"/>
      <c r="O1" s="12"/>
      <c r="P1" s="12"/>
      <c r="Q1" s="12"/>
      <c r="R1" s="13"/>
      <c r="S1" s="12"/>
      <c r="T1" s="12"/>
      <c r="U1" s="12"/>
    </row>
    <row r="2" spans="1:21" ht="15.6" x14ac:dyDescent="0.3">
      <c r="A2" s="12"/>
      <c r="B2" s="63"/>
      <c r="C2" s="12"/>
      <c r="D2" s="12"/>
      <c r="E2" s="149"/>
      <c r="F2" s="59"/>
      <c r="G2" s="12"/>
      <c r="H2" s="152"/>
      <c r="I2" s="12"/>
      <c r="J2" s="152"/>
      <c r="K2" s="2"/>
      <c r="L2" s="152"/>
      <c r="M2" s="12"/>
      <c r="N2" s="152"/>
      <c r="O2" s="12"/>
      <c r="P2" s="12"/>
      <c r="Q2" s="12"/>
      <c r="R2" s="13"/>
      <c r="S2" s="12"/>
      <c r="T2" s="12"/>
      <c r="U2" s="12"/>
    </row>
    <row r="3" spans="1:21" ht="15.6" x14ac:dyDescent="0.3">
      <c r="A3" s="12"/>
      <c r="B3" s="63"/>
      <c r="C3" s="12"/>
      <c r="D3" s="12"/>
      <c r="E3" s="149"/>
      <c r="F3" s="59"/>
      <c r="G3" s="12"/>
      <c r="H3" s="152"/>
      <c r="I3" s="12"/>
      <c r="J3" s="152"/>
      <c r="K3" s="2"/>
      <c r="L3" s="152"/>
      <c r="M3" s="12"/>
      <c r="N3" s="152"/>
      <c r="O3" s="12"/>
      <c r="P3" s="12"/>
      <c r="Q3" s="12"/>
      <c r="R3" s="13"/>
      <c r="S3" s="12"/>
      <c r="T3" s="12"/>
      <c r="U3" s="12"/>
    </row>
    <row r="4" spans="1:21" ht="15.6" x14ac:dyDescent="0.3">
      <c r="A4" s="12"/>
      <c r="B4" s="63"/>
      <c r="C4" s="12"/>
      <c r="D4" s="12"/>
      <c r="E4" s="149"/>
      <c r="F4" s="59"/>
      <c r="G4" s="12"/>
      <c r="H4" s="152"/>
      <c r="I4" s="12"/>
      <c r="J4" s="152"/>
      <c r="K4" s="2"/>
      <c r="L4" s="152"/>
      <c r="M4" s="12"/>
      <c r="N4" s="152"/>
      <c r="O4" s="12"/>
      <c r="P4" s="12"/>
      <c r="Q4" s="12"/>
      <c r="R4" s="13"/>
      <c r="S4" s="12"/>
      <c r="T4" s="12"/>
      <c r="U4" s="12"/>
    </row>
    <row r="5" spans="1:21" ht="17.399999999999999" x14ac:dyDescent="0.3">
      <c r="A5" s="12"/>
      <c r="B5" s="42"/>
      <c r="C5" s="17" t="s">
        <v>24</v>
      </c>
      <c r="D5" s="387" t="s">
        <v>38</v>
      </c>
      <c r="E5" s="387"/>
      <c r="F5" s="387"/>
      <c r="G5" s="12"/>
      <c r="H5" s="152"/>
      <c r="I5" s="12"/>
      <c r="J5" s="169"/>
      <c r="K5" s="2"/>
      <c r="L5" s="152"/>
      <c r="M5" s="12"/>
      <c r="N5" s="169"/>
      <c r="O5" s="12"/>
      <c r="P5" s="12"/>
      <c r="Q5" s="13"/>
      <c r="R5" s="12"/>
      <c r="S5" s="12"/>
      <c r="T5" s="12"/>
    </row>
    <row r="6" spans="1:21" ht="17.399999999999999" x14ac:dyDescent="0.3">
      <c r="A6" s="12"/>
      <c r="B6" s="42"/>
      <c r="C6" s="17" t="s">
        <v>47</v>
      </c>
      <c r="D6" s="388" t="s">
        <v>48</v>
      </c>
      <c r="E6" s="388"/>
      <c r="F6" s="388"/>
      <c r="G6" s="12"/>
      <c r="H6" s="152"/>
      <c r="I6" s="12"/>
      <c r="J6" s="169"/>
      <c r="K6" s="2"/>
      <c r="L6" s="152"/>
      <c r="M6" s="12"/>
      <c r="N6" s="169"/>
      <c r="O6" s="12"/>
      <c r="Q6" s="13"/>
      <c r="R6" s="12"/>
      <c r="S6" s="12"/>
      <c r="T6" s="12"/>
    </row>
    <row r="7" spans="1:21" ht="17.399999999999999" x14ac:dyDescent="0.3">
      <c r="A7" s="12"/>
      <c r="B7" s="42"/>
      <c r="C7" s="17" t="s">
        <v>49</v>
      </c>
      <c r="D7" s="389"/>
      <c r="E7" s="389"/>
      <c r="F7" s="389"/>
      <c r="G7" s="12"/>
      <c r="H7" s="152"/>
      <c r="I7" s="12"/>
      <c r="J7" s="169"/>
      <c r="K7" s="214"/>
      <c r="L7" s="152"/>
      <c r="M7" s="12"/>
      <c r="N7" s="169"/>
      <c r="O7" s="12"/>
      <c r="P7" s="12"/>
      <c r="Q7" s="13"/>
      <c r="R7" s="12"/>
      <c r="S7" s="12"/>
      <c r="T7" s="12"/>
    </row>
    <row r="8" spans="1:21" ht="17.399999999999999" x14ac:dyDescent="0.3">
      <c r="A8" s="12"/>
      <c r="B8" s="42"/>
      <c r="C8" s="14" t="s">
        <v>50</v>
      </c>
      <c r="D8" s="140" t="s">
        <v>25</v>
      </c>
      <c r="E8" s="140" t="s">
        <v>26</v>
      </c>
      <c r="F8" s="140" t="s">
        <v>27</v>
      </c>
      <c r="H8" s="152"/>
      <c r="I8" s="12"/>
      <c r="J8" s="152"/>
      <c r="K8" s="2"/>
      <c r="L8" s="152"/>
      <c r="M8" s="12"/>
      <c r="N8" s="152"/>
      <c r="O8" s="12"/>
      <c r="P8" s="12"/>
      <c r="Q8" s="12"/>
      <c r="R8" s="13"/>
      <c r="S8" s="12"/>
      <c r="T8" s="12"/>
      <c r="U8" s="12"/>
    </row>
    <row r="9" spans="1:21" ht="17.399999999999999" x14ac:dyDescent="0.3">
      <c r="A9" s="12"/>
      <c r="B9" s="42"/>
      <c r="C9" s="14" t="s">
        <v>51</v>
      </c>
      <c r="D9" s="16">
        <f>COUNTIF(H18:H147, "Pass*")</f>
        <v>25</v>
      </c>
      <c r="E9" s="16">
        <f>COUNTIF(L18:L147, "Pass*")</f>
        <v>29</v>
      </c>
      <c r="F9" s="16">
        <f>COUNTIF(P18:P147, "Pass*")</f>
        <v>0</v>
      </c>
      <c r="H9" s="152"/>
      <c r="I9" s="12"/>
      <c r="J9" s="152"/>
      <c r="K9" s="2"/>
      <c r="L9" s="152"/>
      <c r="M9" s="12"/>
      <c r="N9" s="152"/>
      <c r="O9" s="12"/>
      <c r="P9" s="12"/>
      <c r="Q9" s="12"/>
      <c r="R9" s="13"/>
      <c r="S9" s="12"/>
      <c r="T9" s="12"/>
      <c r="U9" s="12"/>
    </row>
    <row r="10" spans="1:21" ht="17.399999999999999" x14ac:dyDescent="0.3">
      <c r="A10" s="12"/>
      <c r="B10" s="42"/>
      <c r="C10" s="14" t="s">
        <v>52</v>
      </c>
      <c r="D10" s="16">
        <f>COUNTIF(H20:H148, "Fail")</f>
        <v>4</v>
      </c>
      <c r="E10" s="16">
        <f>COUNTIF(L20:L148, "Fail")</f>
        <v>0</v>
      </c>
      <c r="F10" s="16">
        <f>COUNTIF(P20:P148, "Fail")</f>
        <v>0</v>
      </c>
      <c r="H10" s="152"/>
      <c r="I10" s="12"/>
      <c r="J10" s="152"/>
      <c r="K10" s="2"/>
      <c r="L10" s="152"/>
      <c r="M10" s="12"/>
      <c r="N10" s="152"/>
      <c r="O10" s="12"/>
      <c r="P10" s="12"/>
      <c r="Q10" s="12"/>
      <c r="R10" s="13"/>
      <c r="S10" s="12"/>
      <c r="T10" s="12"/>
      <c r="U10" s="12"/>
    </row>
    <row r="11" spans="1:21" ht="17.399999999999999" x14ac:dyDescent="0.3">
      <c r="A11" s="12"/>
      <c r="B11" s="42"/>
      <c r="C11" s="14" t="s">
        <v>53</v>
      </c>
      <c r="D11" s="16">
        <f>COUNTIF(H20:H149, "Untested")</f>
        <v>1</v>
      </c>
      <c r="E11" s="16">
        <f>COUNTIF(L21:L149, "Untest")</f>
        <v>0</v>
      </c>
      <c r="F11" s="16">
        <f>COUNTIF(P21:P149, "Untest")</f>
        <v>0</v>
      </c>
      <c r="H11" s="152"/>
      <c r="I11" s="12"/>
      <c r="J11" s="152"/>
      <c r="K11" s="2"/>
      <c r="L11" s="152"/>
      <c r="M11" s="12"/>
      <c r="N11" s="152"/>
      <c r="O11" s="12"/>
      <c r="P11" s="12"/>
      <c r="Q11" s="12"/>
      <c r="R11" s="13"/>
      <c r="S11" s="12"/>
      <c r="T11" s="12"/>
      <c r="U11" s="12"/>
    </row>
    <row r="12" spans="1:21" ht="17.399999999999999" x14ac:dyDescent="0.3">
      <c r="A12" s="12"/>
      <c r="B12" s="42"/>
      <c r="C12" s="14" t="s">
        <v>54</v>
      </c>
      <c r="D12" s="16">
        <f>COUNTIF(H20:H150, "N/A")</f>
        <v>0</v>
      </c>
      <c r="E12" s="16">
        <f>COUNTIF(L22:L150, "N/A")</f>
        <v>0</v>
      </c>
      <c r="F12" s="16">
        <f>COUNTIF(P22:P150, "N/A")</f>
        <v>0</v>
      </c>
      <c r="H12" s="152"/>
      <c r="I12" s="12"/>
      <c r="J12" s="152"/>
      <c r="K12" s="2"/>
      <c r="L12" s="152"/>
      <c r="M12" s="12"/>
      <c r="N12" s="152"/>
      <c r="O12" s="12"/>
      <c r="P12" s="12"/>
      <c r="Q12" s="12"/>
      <c r="R12" s="13"/>
      <c r="S12" s="12"/>
      <c r="T12" s="12"/>
      <c r="U12" s="12"/>
    </row>
    <row r="13" spans="1:21" ht="17.399999999999999" x14ac:dyDescent="0.3">
      <c r="A13" s="12"/>
      <c r="B13" s="42"/>
      <c r="C13" s="17" t="s">
        <v>55</v>
      </c>
      <c r="D13" s="143">
        <f>COUNTIF(H20:H151, "Blocking")</f>
        <v>0</v>
      </c>
      <c r="E13" s="143">
        <f>COUNTIF(L23:L151, "Blocking")</f>
        <v>0</v>
      </c>
      <c r="F13" s="143">
        <f>COUNTIF(P23:P151, "Blocking")</f>
        <v>0</v>
      </c>
      <c r="H13" s="152"/>
      <c r="I13" s="12"/>
      <c r="J13" s="152"/>
      <c r="K13" s="2"/>
      <c r="L13" s="152"/>
      <c r="M13" s="12"/>
      <c r="N13" s="152"/>
      <c r="O13" s="12"/>
      <c r="P13" s="12"/>
      <c r="Q13" s="12"/>
      <c r="R13" s="13"/>
      <c r="S13" s="12"/>
      <c r="T13" s="12"/>
      <c r="U13" s="12"/>
    </row>
    <row r="14" spans="1:21" ht="17.399999999999999" x14ac:dyDescent="0.3">
      <c r="A14" s="12"/>
      <c r="B14" s="42"/>
      <c r="C14" s="17" t="s">
        <v>56</v>
      </c>
      <c r="D14" s="353">
        <f>COUNTA($F$21:$F$1246)</f>
        <v>30</v>
      </c>
      <c r="E14" s="353"/>
      <c r="F14" s="353"/>
      <c r="G14" s="144"/>
      <c r="H14" s="152"/>
      <c r="I14" s="12"/>
      <c r="J14" s="152"/>
      <c r="K14" s="2"/>
      <c r="L14" s="152"/>
      <c r="M14" s="12"/>
      <c r="N14" s="152"/>
      <c r="O14" s="12"/>
      <c r="P14" s="12"/>
      <c r="Q14" s="12"/>
      <c r="R14" s="13"/>
      <c r="S14" s="12"/>
      <c r="T14" s="12"/>
      <c r="U14" s="18"/>
    </row>
    <row r="15" spans="1:21" s="71" customFormat="1" ht="17.399999999999999" x14ac:dyDescent="0.25">
      <c r="A15" s="70"/>
      <c r="B15" s="391" t="s">
        <v>23</v>
      </c>
      <c r="C15" s="391" t="s">
        <v>57</v>
      </c>
      <c r="D15" s="392" t="s">
        <v>58</v>
      </c>
      <c r="E15" s="392" t="s">
        <v>59</v>
      </c>
      <c r="F15" s="367" t="s">
        <v>60</v>
      </c>
      <c r="G15" s="363" t="s">
        <v>61</v>
      </c>
      <c r="H15" s="397" t="s">
        <v>62</v>
      </c>
      <c r="I15" s="397"/>
      <c r="J15" s="397"/>
      <c r="K15" s="397"/>
      <c r="L15" s="397"/>
      <c r="M15" s="397"/>
      <c r="N15" s="397"/>
      <c r="O15" s="397"/>
      <c r="P15" s="397"/>
      <c r="Q15" s="397"/>
      <c r="R15" s="397"/>
      <c r="S15" s="397"/>
      <c r="T15" s="398"/>
      <c r="U15" s="399" t="s">
        <v>63</v>
      </c>
    </row>
    <row r="16" spans="1:21" s="71" customFormat="1" ht="17.399999999999999" x14ac:dyDescent="0.25">
      <c r="A16" s="70"/>
      <c r="B16" s="392"/>
      <c r="C16" s="392"/>
      <c r="D16" s="392"/>
      <c r="E16" s="392"/>
      <c r="F16" s="367"/>
      <c r="G16" s="363"/>
      <c r="H16" s="402" t="s">
        <v>25</v>
      </c>
      <c r="I16" s="402"/>
      <c r="J16" s="402"/>
      <c r="K16" s="403"/>
      <c r="L16" s="402" t="s">
        <v>26</v>
      </c>
      <c r="M16" s="402"/>
      <c r="N16" s="402"/>
      <c r="O16" s="403"/>
      <c r="P16" s="404" t="s">
        <v>27</v>
      </c>
      <c r="Q16" s="404"/>
      <c r="R16" s="404"/>
      <c r="S16" s="405"/>
      <c r="T16" s="406" t="s">
        <v>64</v>
      </c>
      <c r="U16" s="400"/>
    </row>
    <row r="17" spans="1:21" s="71" customFormat="1" ht="17.399999999999999" x14ac:dyDescent="0.25">
      <c r="A17" s="70"/>
      <c r="B17" s="393"/>
      <c r="C17" s="393"/>
      <c r="D17" s="393"/>
      <c r="E17" s="393"/>
      <c r="F17" s="368"/>
      <c r="G17" s="363"/>
      <c r="H17" s="193" t="s">
        <v>61</v>
      </c>
      <c r="I17" s="22" t="s">
        <v>65</v>
      </c>
      <c r="J17" s="21" t="s">
        <v>66</v>
      </c>
      <c r="K17" s="21" t="s">
        <v>63</v>
      </c>
      <c r="L17" s="193" t="s">
        <v>61</v>
      </c>
      <c r="M17" s="22" t="s">
        <v>65</v>
      </c>
      <c r="N17" s="21" t="s">
        <v>66</v>
      </c>
      <c r="O17" s="21" t="s">
        <v>63</v>
      </c>
      <c r="P17" s="22" t="s">
        <v>61</v>
      </c>
      <c r="Q17" s="22" t="s">
        <v>65</v>
      </c>
      <c r="R17" s="21" t="s">
        <v>66</v>
      </c>
      <c r="S17" s="21" t="s">
        <v>63</v>
      </c>
      <c r="T17" s="407"/>
      <c r="U17" s="401"/>
    </row>
    <row r="18" spans="1:21" ht="20.399999999999999" x14ac:dyDescent="0.25">
      <c r="A18" s="12"/>
      <c r="B18" s="84"/>
      <c r="C18" s="394" t="s">
        <v>38</v>
      </c>
      <c r="D18" s="395"/>
      <c r="E18" s="395"/>
      <c r="F18" s="395"/>
      <c r="G18" s="396"/>
      <c r="H18" s="395"/>
      <c r="I18" s="395"/>
      <c r="J18" s="395"/>
      <c r="K18" s="395"/>
      <c r="L18" s="395"/>
      <c r="M18" s="395"/>
      <c r="N18" s="395"/>
      <c r="O18" s="395"/>
      <c r="P18" s="395"/>
      <c r="Q18" s="395"/>
      <c r="R18" s="395"/>
      <c r="S18" s="395"/>
      <c r="T18" s="395"/>
      <c r="U18" s="395"/>
    </row>
    <row r="19" spans="1:21" s="71" customFormat="1" ht="20.399999999999999" x14ac:dyDescent="0.25">
      <c r="A19" s="70"/>
      <c r="B19" s="64"/>
      <c r="C19" s="360" t="s">
        <v>67</v>
      </c>
      <c r="D19" s="361"/>
      <c r="E19" s="361"/>
      <c r="F19" s="361"/>
      <c r="G19" s="362"/>
      <c r="H19" s="154"/>
      <c r="I19" s="154"/>
      <c r="J19" s="154"/>
      <c r="K19" s="239"/>
      <c r="L19" s="154"/>
      <c r="M19" s="154"/>
      <c r="N19" s="154"/>
      <c r="O19" s="154"/>
      <c r="P19" s="154"/>
      <c r="Q19" s="154"/>
      <c r="R19" s="239"/>
      <c r="S19" s="154"/>
      <c r="T19" s="154"/>
      <c r="U19" s="154"/>
    </row>
    <row r="20" spans="1:21" ht="21" x14ac:dyDescent="0.25">
      <c r="A20" s="12"/>
      <c r="B20" s="65"/>
      <c r="C20" s="277" t="s">
        <v>68</v>
      </c>
      <c r="D20" s="276"/>
      <c r="E20" s="276"/>
      <c r="F20" s="276"/>
      <c r="G20" s="278"/>
      <c r="H20" s="155"/>
      <c r="I20" s="155"/>
      <c r="J20" s="155"/>
      <c r="K20" s="240"/>
      <c r="L20" s="155"/>
      <c r="M20" s="155"/>
      <c r="N20" s="155"/>
      <c r="O20" s="155"/>
      <c r="P20" s="155"/>
      <c r="Q20" s="155"/>
      <c r="R20" s="240"/>
      <c r="S20" s="155"/>
      <c r="T20" s="155"/>
      <c r="U20" s="155"/>
    </row>
    <row r="21" spans="1:21" ht="107.25" customHeight="1" x14ac:dyDescent="0.25">
      <c r="A21" s="390"/>
      <c r="B21" s="66" t="str">
        <f>IF(AND(F21="")," ",$D$6&amp;"_"&amp;ROW()-20-COUNTBLANK($F$21:F21))</f>
        <v>&lt;Đăng nhập&gt;_1</v>
      </c>
      <c r="C21" s="364" t="s">
        <v>69</v>
      </c>
      <c r="D21" s="86" t="s">
        <v>70</v>
      </c>
      <c r="E21" s="86" t="s">
        <v>71</v>
      </c>
      <c r="F21" s="86" t="s">
        <v>72</v>
      </c>
      <c r="G21" s="86" t="s">
        <v>73</v>
      </c>
      <c r="H21" s="146" t="s">
        <v>28</v>
      </c>
      <c r="I21" s="158"/>
      <c r="J21" s="42" t="s">
        <v>74</v>
      </c>
      <c r="K21" s="158"/>
      <c r="L21" s="146" t="s">
        <v>28</v>
      </c>
      <c r="M21" s="241"/>
      <c r="N21" s="42" t="s">
        <v>75</v>
      </c>
      <c r="O21" s="241"/>
      <c r="P21" s="241"/>
      <c r="Q21" s="241"/>
      <c r="R21" s="206"/>
      <c r="S21" s="242"/>
      <c r="T21" s="242"/>
      <c r="U21" s="242"/>
    </row>
    <row r="22" spans="1:21" ht="27.6" x14ac:dyDescent="0.25">
      <c r="A22" s="390"/>
      <c r="B22" s="66" t="str">
        <f>IF(AND(F22="")," ",$D$6&amp;"_"&amp;ROW()-20-COUNTBLANK($F$21:F22))</f>
        <v>&lt;Đăng nhập&gt;_2</v>
      </c>
      <c r="C22" s="365"/>
      <c r="D22" s="86" t="s">
        <v>76</v>
      </c>
      <c r="E22" s="86" t="s">
        <v>77</v>
      </c>
      <c r="F22" s="86" t="s">
        <v>78</v>
      </c>
      <c r="G22" s="86" t="s">
        <v>79</v>
      </c>
      <c r="H22" s="146" t="s">
        <v>28</v>
      </c>
      <c r="I22" s="158"/>
      <c r="J22" s="42" t="s">
        <v>74</v>
      </c>
      <c r="K22" s="158"/>
      <c r="L22" s="146" t="s">
        <v>28</v>
      </c>
      <c r="M22" s="241"/>
      <c r="N22" s="42" t="s">
        <v>75</v>
      </c>
      <c r="O22" s="241"/>
      <c r="P22" s="241"/>
      <c r="Q22" s="241"/>
      <c r="R22" s="206"/>
      <c r="S22" s="242"/>
      <c r="T22" s="242"/>
      <c r="U22" s="242"/>
    </row>
    <row r="23" spans="1:21" ht="82.8" x14ac:dyDescent="0.25">
      <c r="A23" s="390"/>
      <c r="B23" s="66" t="str">
        <f>IF(AND(F23="")," ",$D$6&amp;"_"&amp;ROW()-20-COUNTBLANK($F$21:F23))</f>
        <v>&lt;Đăng nhập&gt;_3</v>
      </c>
      <c r="C23" s="366"/>
      <c r="D23" s="86"/>
      <c r="E23" s="86" t="s">
        <v>80</v>
      </c>
      <c r="F23" s="86" t="s">
        <v>81</v>
      </c>
      <c r="G23" s="86" t="s">
        <v>82</v>
      </c>
      <c r="H23" s="146" t="s">
        <v>28</v>
      </c>
      <c r="I23" s="158"/>
      <c r="J23" s="42" t="s">
        <v>74</v>
      </c>
      <c r="K23" s="158"/>
      <c r="L23" s="146" t="s">
        <v>28</v>
      </c>
      <c r="M23" s="241"/>
      <c r="N23" s="42" t="s">
        <v>75</v>
      </c>
      <c r="O23" s="241"/>
      <c r="P23" s="241"/>
      <c r="Q23" s="241"/>
      <c r="R23" s="206"/>
      <c r="S23" s="242"/>
      <c r="T23" s="242"/>
      <c r="U23" s="242"/>
    </row>
    <row r="24" spans="1:21" ht="70.349999999999994" customHeight="1" x14ac:dyDescent="0.25">
      <c r="A24" s="390"/>
      <c r="B24" s="66" t="str">
        <f>IF(AND(F24="")," ",$D$6&amp;"_"&amp;ROW()-20-COUNTBLANK($F$21:F24))</f>
        <v>&lt;Đăng nhập&gt;_4</v>
      </c>
      <c r="C24" s="86" t="s">
        <v>83</v>
      </c>
      <c r="D24" s="86" t="s">
        <v>84</v>
      </c>
      <c r="E24" s="86" t="s">
        <v>85</v>
      </c>
      <c r="F24" s="86" t="s">
        <v>86</v>
      </c>
      <c r="G24" s="86" t="s">
        <v>87</v>
      </c>
      <c r="H24" s="146" t="s">
        <v>28</v>
      </c>
      <c r="I24" s="158"/>
      <c r="J24" s="42" t="s">
        <v>74</v>
      </c>
      <c r="K24" s="158"/>
      <c r="L24" s="146" t="s">
        <v>28</v>
      </c>
      <c r="M24" s="241"/>
      <c r="N24" s="42" t="s">
        <v>75</v>
      </c>
      <c r="O24" s="241"/>
      <c r="P24" s="241"/>
      <c r="Q24" s="241"/>
      <c r="R24" s="206"/>
      <c r="S24" s="242"/>
      <c r="T24" s="242"/>
      <c r="U24" s="242"/>
    </row>
    <row r="25" spans="1:21" ht="20.25" customHeight="1" x14ac:dyDescent="0.25">
      <c r="A25" s="390"/>
      <c r="B25" s="66" t="str">
        <f>IF(AND(F25="")," ",$D$6&amp;"_"&amp;ROW()-20-COUNTBLANK($F$21:F25))</f>
        <v xml:space="preserve"> </v>
      </c>
      <c r="C25" s="354" t="s">
        <v>88</v>
      </c>
      <c r="D25" s="355"/>
      <c r="E25" s="355"/>
      <c r="F25" s="355"/>
      <c r="G25" s="356"/>
      <c r="H25" s="146"/>
      <c r="I25" s="42"/>
      <c r="J25" s="42"/>
      <c r="K25" s="206"/>
      <c r="L25" s="146"/>
      <c r="M25" s="42"/>
      <c r="N25" s="42"/>
      <c r="O25" s="243"/>
      <c r="P25" s="243"/>
      <c r="Q25" s="243"/>
      <c r="R25" s="206"/>
      <c r="S25" s="42"/>
      <c r="T25" s="42"/>
      <c r="U25" s="244"/>
    </row>
    <row r="26" spans="1:21" ht="82.8" x14ac:dyDescent="0.25">
      <c r="A26" s="12"/>
      <c r="B26" s="66" t="str">
        <f>IF(AND(F26="")," ",$D$6&amp;"_"&amp;ROW()-20-COUNTBLANK($F$21:F26))</f>
        <v>&lt;Đăng nhập&gt;_5</v>
      </c>
      <c r="C26" s="372" t="s">
        <v>89</v>
      </c>
      <c r="D26" s="87" t="s">
        <v>70</v>
      </c>
      <c r="E26" s="126" t="s">
        <v>90</v>
      </c>
      <c r="F26" s="112" t="s">
        <v>91</v>
      </c>
      <c r="G26" s="146" t="s">
        <v>92</v>
      </c>
      <c r="H26" s="146" t="s">
        <v>28</v>
      </c>
      <c r="I26" s="47"/>
      <c r="J26" s="42" t="s">
        <v>74</v>
      </c>
      <c r="K26" s="245"/>
      <c r="L26" s="146" t="s">
        <v>28</v>
      </c>
      <c r="M26" s="47"/>
      <c r="N26" s="42" t="s">
        <v>75</v>
      </c>
      <c r="O26" s="246"/>
      <c r="P26" s="246"/>
      <c r="Q26" s="246"/>
      <c r="R26" s="245"/>
      <c r="S26" s="47"/>
      <c r="T26" s="47"/>
      <c r="U26" s="247"/>
    </row>
    <row r="27" spans="1:21" ht="96.6" x14ac:dyDescent="0.25">
      <c r="A27" s="12"/>
      <c r="B27" s="66" t="str">
        <f>IF(AND(F27="")," ",$D$6&amp;"_"&amp;ROW()-20-COUNTBLANK($F$21:F27))</f>
        <v>&lt;Đăng nhập&gt;_6</v>
      </c>
      <c r="C27" s="373"/>
      <c r="D27" s="164"/>
      <c r="E27" s="126" t="s">
        <v>93</v>
      </c>
      <c r="F27" s="248" t="s">
        <v>94</v>
      </c>
      <c r="G27" s="146" t="s">
        <v>95</v>
      </c>
      <c r="H27" s="146" t="s">
        <v>28</v>
      </c>
      <c r="I27" s="249"/>
      <c r="J27" s="42" t="s">
        <v>74</v>
      </c>
      <c r="K27" s="178"/>
      <c r="L27" s="146" t="s">
        <v>28</v>
      </c>
      <c r="M27" s="95"/>
      <c r="N27" s="42" t="s">
        <v>75</v>
      </c>
      <c r="O27" s="246"/>
      <c r="P27" s="246"/>
      <c r="Q27" s="246"/>
      <c r="R27" s="245"/>
      <c r="S27" s="47"/>
      <c r="T27" s="47"/>
      <c r="U27" s="247"/>
    </row>
    <row r="28" spans="1:21" ht="93" customHeight="1" x14ac:dyDescent="0.25">
      <c r="A28" s="12"/>
      <c r="B28" s="66" t="str">
        <f>IF(AND(F28="")," ",$D$6&amp;"_"&amp;ROW()-20-COUNTBLANK($F$21:F28))</f>
        <v>&lt;Đăng nhập&gt;_7</v>
      </c>
      <c r="C28" s="364" t="s">
        <v>96</v>
      </c>
      <c r="D28" s="364" t="s">
        <v>70</v>
      </c>
      <c r="E28" s="126" t="s">
        <v>97</v>
      </c>
      <c r="F28" s="110" t="s">
        <v>98</v>
      </c>
      <c r="G28" s="145" t="s">
        <v>99</v>
      </c>
      <c r="H28" s="146" t="s">
        <v>28</v>
      </c>
      <c r="I28" s="161"/>
      <c r="J28" s="42" t="s">
        <v>74</v>
      </c>
      <c r="K28" s="80"/>
      <c r="L28" s="146" t="s">
        <v>28</v>
      </c>
      <c r="M28" s="96"/>
      <c r="N28" s="42" t="s">
        <v>75</v>
      </c>
      <c r="O28" s="250"/>
      <c r="P28" s="250"/>
      <c r="Q28" s="250"/>
      <c r="R28" s="207"/>
      <c r="S28" s="52"/>
      <c r="T28" s="52"/>
      <c r="U28" s="250"/>
    </row>
    <row r="29" spans="1:21" ht="93" customHeight="1" x14ac:dyDescent="0.25">
      <c r="A29" s="12"/>
      <c r="B29" s="68" t="str">
        <f>IF(AND(F29="")," ",$D$6&amp;"_"&amp;ROW()-20-COUNTBLANK($F$21:F29))</f>
        <v>&lt;Đăng nhập&gt;_8</v>
      </c>
      <c r="C29" s="366"/>
      <c r="D29" s="366"/>
      <c r="E29" s="86" t="s">
        <v>100</v>
      </c>
      <c r="F29" s="112" t="s">
        <v>101</v>
      </c>
      <c r="G29" s="197" t="s">
        <v>102</v>
      </c>
      <c r="H29" s="146" t="s">
        <v>28</v>
      </c>
      <c r="I29" s="52"/>
      <c r="J29" s="42" t="s">
        <v>74</v>
      </c>
      <c r="K29" s="251"/>
      <c r="L29" s="146" t="s">
        <v>28</v>
      </c>
      <c r="M29" s="52"/>
      <c r="N29" s="42" t="s">
        <v>75</v>
      </c>
      <c r="O29" s="250"/>
      <c r="P29" s="250"/>
      <c r="Q29" s="250"/>
      <c r="R29" s="207"/>
      <c r="S29" s="52"/>
      <c r="T29" s="52"/>
      <c r="U29" s="250"/>
    </row>
    <row r="30" spans="1:21" ht="20.25" customHeight="1" x14ac:dyDescent="0.25">
      <c r="A30" s="12"/>
      <c r="B30" s="83" t="str">
        <f>IF(AND(F30="")," ",$D$6&amp;"_"&amp;ROW()-20-COUNTBLANK($F$21:F30))</f>
        <v xml:space="preserve"> </v>
      </c>
      <c r="C30" s="357" t="s">
        <v>103</v>
      </c>
      <c r="D30" s="358"/>
      <c r="E30" s="358"/>
      <c r="F30" s="358"/>
      <c r="G30" s="359"/>
      <c r="H30" s="146"/>
      <c r="I30" s="52"/>
      <c r="J30" s="42"/>
      <c r="K30" s="207"/>
      <c r="L30" s="146"/>
      <c r="M30" s="52"/>
      <c r="N30" s="42"/>
      <c r="O30" s="250"/>
      <c r="P30" s="250"/>
      <c r="Q30" s="250"/>
      <c r="R30" s="207"/>
      <c r="S30" s="52"/>
      <c r="T30" s="52"/>
      <c r="U30" s="250"/>
    </row>
    <row r="31" spans="1:21" ht="66" customHeight="1" x14ac:dyDescent="0.25">
      <c r="A31" s="12"/>
      <c r="B31" s="83" t="str">
        <f>IF(AND(F31="")," ",$D$6&amp;"_"&amp;ROW()-20-COUNTBLANK($F$21:F31))</f>
        <v>&lt;Đăng nhập&gt;_9</v>
      </c>
      <c r="C31" s="87" t="s">
        <v>104</v>
      </c>
      <c r="D31" s="86" t="s">
        <v>70</v>
      </c>
      <c r="E31" s="127" t="s">
        <v>105</v>
      </c>
      <c r="F31" s="127" t="s">
        <v>106</v>
      </c>
      <c r="G31" s="146" t="s">
        <v>107</v>
      </c>
      <c r="H31" s="146" t="s">
        <v>28</v>
      </c>
      <c r="I31" s="52"/>
      <c r="J31" s="42" t="s">
        <v>74</v>
      </c>
      <c r="K31" s="207"/>
      <c r="L31" s="146" t="s">
        <v>28</v>
      </c>
      <c r="M31" s="52"/>
      <c r="N31" s="42" t="s">
        <v>75</v>
      </c>
      <c r="O31" s="250"/>
      <c r="P31" s="250"/>
      <c r="Q31" s="250"/>
      <c r="R31" s="207"/>
      <c r="S31" s="52"/>
      <c r="T31" s="52"/>
      <c r="U31" s="250"/>
    </row>
    <row r="32" spans="1:21" ht="62.55" customHeight="1" x14ac:dyDescent="0.25">
      <c r="A32" s="12"/>
      <c r="B32" s="68" t="str">
        <f>IF(AND(F32="")," ",$D$6&amp;"_"&amp;ROW()-20-COUNTBLANK($F$21:F32))</f>
        <v>&lt;Đăng nhập&gt;_10</v>
      </c>
      <c r="C32" s="90" t="s">
        <v>108</v>
      </c>
      <c r="D32" s="86"/>
      <c r="E32" s="112" t="s">
        <v>109</v>
      </c>
      <c r="F32" s="252" t="s">
        <v>110</v>
      </c>
      <c r="G32" s="197" t="s">
        <v>111</v>
      </c>
      <c r="H32" s="146" t="s">
        <v>28</v>
      </c>
      <c r="I32" s="52"/>
      <c r="J32" s="42" t="s">
        <v>74</v>
      </c>
      <c r="K32" s="207"/>
      <c r="L32" s="146" t="s">
        <v>28</v>
      </c>
      <c r="M32" s="52"/>
      <c r="N32" s="42" t="s">
        <v>75</v>
      </c>
      <c r="O32" s="250"/>
      <c r="P32" s="250"/>
      <c r="Q32" s="250"/>
      <c r="R32" s="207"/>
      <c r="S32" s="52"/>
      <c r="T32" s="52"/>
      <c r="U32" s="250"/>
    </row>
    <row r="33" spans="1:21" ht="20.399999999999999" x14ac:dyDescent="0.25">
      <c r="A33" s="12"/>
      <c r="B33" s="177" t="str">
        <f>IF(AND(F33="")," ",$D$6&amp;"_"&amp;ROW()-20-COUNTBLANK($F$21:F33))</f>
        <v xml:space="preserve"> </v>
      </c>
      <c r="C33" s="374" t="s">
        <v>105</v>
      </c>
      <c r="D33" s="375"/>
      <c r="E33" s="375"/>
      <c r="F33" s="375"/>
      <c r="G33" s="376"/>
      <c r="H33" s="253"/>
      <c r="I33" s="253"/>
      <c r="J33" s="42"/>
      <c r="K33" s="253"/>
      <c r="L33" s="253"/>
      <c r="M33" s="253"/>
      <c r="N33" s="42"/>
      <c r="O33" s="253"/>
      <c r="P33" s="253"/>
      <c r="Q33" s="253"/>
      <c r="R33" s="253"/>
      <c r="S33" s="253"/>
      <c r="T33" s="253"/>
      <c r="U33" s="253"/>
    </row>
    <row r="34" spans="1:21" s="71" customFormat="1" ht="20.399999999999999" x14ac:dyDescent="0.25">
      <c r="A34" s="70"/>
      <c r="B34" s="69"/>
      <c r="C34" s="380" t="s">
        <v>105</v>
      </c>
      <c r="D34" s="361"/>
      <c r="E34" s="361"/>
      <c r="F34" s="361"/>
      <c r="G34" s="362"/>
      <c r="H34" s="154"/>
      <c r="I34" s="154"/>
      <c r="J34" s="42"/>
      <c r="K34" s="239"/>
      <c r="L34" s="154"/>
      <c r="M34" s="154"/>
      <c r="N34" s="42"/>
      <c r="O34" s="154"/>
      <c r="P34" s="154"/>
      <c r="Q34" s="154"/>
      <c r="R34" s="239"/>
      <c r="S34" s="154"/>
      <c r="T34" s="154"/>
      <c r="U34" s="154"/>
    </row>
    <row r="35" spans="1:21" ht="21" x14ac:dyDescent="0.25">
      <c r="A35" s="12"/>
      <c r="B35" s="69" t="str">
        <f>IF(AND(F35="")," ",$D$6&amp;"_"&amp;ROW()-20-COUNTBLANK($F$21:F35))</f>
        <v xml:space="preserve"> </v>
      </c>
      <c r="C35" s="377" t="s">
        <v>68</v>
      </c>
      <c r="D35" s="378"/>
      <c r="E35" s="378"/>
      <c r="F35" s="378"/>
      <c r="G35" s="379"/>
      <c r="H35" s="36"/>
      <c r="I35" s="36"/>
      <c r="J35" s="42"/>
      <c r="K35" s="254"/>
      <c r="L35" s="36"/>
      <c r="M35" s="36"/>
      <c r="N35" s="42"/>
      <c r="O35" s="255"/>
      <c r="P35" s="255"/>
      <c r="Q35" s="255"/>
      <c r="R35" s="254"/>
      <c r="S35" s="36"/>
      <c r="T35" s="36"/>
      <c r="U35" s="255"/>
    </row>
    <row r="36" spans="1:21" ht="179.4" x14ac:dyDescent="0.25">
      <c r="A36" s="12"/>
      <c r="B36" s="82" t="str">
        <f>IF(AND(F36="")," ",$D$6&amp;"_"&amp;ROW()-20-COUNTBLANK($F$21:F36))</f>
        <v>&lt;Đăng nhập&gt;_11</v>
      </c>
      <c r="C36" s="165" t="s">
        <v>69</v>
      </c>
      <c r="D36" s="86" t="s">
        <v>112</v>
      </c>
      <c r="E36" s="112" t="s">
        <v>113</v>
      </c>
      <c r="F36" s="197" t="s">
        <v>114</v>
      </c>
      <c r="G36" s="146" t="s">
        <v>115</v>
      </c>
      <c r="H36" s="146" t="s">
        <v>28</v>
      </c>
      <c r="I36" s="256"/>
      <c r="J36" s="42" t="s">
        <v>74</v>
      </c>
      <c r="K36" s="257"/>
      <c r="L36" s="146" t="s">
        <v>28</v>
      </c>
      <c r="M36" s="256"/>
      <c r="N36" s="42" t="s">
        <v>75</v>
      </c>
      <c r="O36" s="256"/>
      <c r="P36" s="256"/>
      <c r="Q36" s="256"/>
      <c r="R36" s="258"/>
      <c r="S36" s="256"/>
      <c r="T36" s="256"/>
      <c r="U36" s="256"/>
    </row>
    <row r="37" spans="1:21" ht="41.4" x14ac:dyDescent="0.25">
      <c r="A37" s="12"/>
      <c r="B37" s="82" t="str">
        <f>IF(AND(F37="")," ",$D$6&amp;"_"&amp;ROW()-20-COUNTBLANK($F$21:F37))</f>
        <v>&lt;Đăng nhập&gt;_12</v>
      </c>
      <c r="C37" s="166"/>
      <c r="D37" s="145" t="s">
        <v>116</v>
      </c>
      <c r="E37" s="126" t="s">
        <v>113</v>
      </c>
      <c r="F37" s="146" t="s">
        <v>117</v>
      </c>
      <c r="G37" s="146" t="s">
        <v>79</v>
      </c>
      <c r="H37" s="146" t="s">
        <v>28</v>
      </c>
      <c r="I37" s="256"/>
      <c r="J37" s="42" t="s">
        <v>74</v>
      </c>
      <c r="K37" s="257"/>
      <c r="L37" s="146" t="s">
        <v>28</v>
      </c>
      <c r="M37" s="256"/>
      <c r="N37" s="42" t="s">
        <v>75</v>
      </c>
      <c r="O37" s="256"/>
      <c r="P37" s="256"/>
      <c r="Q37" s="256"/>
      <c r="R37" s="258"/>
      <c r="S37" s="256"/>
      <c r="T37" s="256"/>
      <c r="U37" s="256"/>
    </row>
    <row r="38" spans="1:21" ht="69" x14ac:dyDescent="0.25">
      <c r="A38" s="12"/>
      <c r="B38" s="82" t="str">
        <f>IF(AND(F38="")," ",$D$6&amp;"_"&amp;ROW()-20-COUNTBLANK($F$21:F38))</f>
        <v>&lt;Đăng nhập&gt;_13</v>
      </c>
      <c r="C38" s="167"/>
      <c r="D38" s="148"/>
      <c r="E38" s="168"/>
      <c r="F38" s="146" t="s">
        <v>81</v>
      </c>
      <c r="G38" s="146" t="s">
        <v>118</v>
      </c>
      <c r="H38" s="146" t="s">
        <v>28</v>
      </c>
      <c r="I38" s="256"/>
      <c r="J38" s="42" t="s">
        <v>74</v>
      </c>
      <c r="K38" s="257"/>
      <c r="L38" s="146" t="s">
        <v>28</v>
      </c>
      <c r="M38" s="256"/>
      <c r="N38" s="42" t="s">
        <v>75</v>
      </c>
      <c r="O38" s="256"/>
      <c r="P38" s="256"/>
      <c r="Q38" s="256"/>
      <c r="R38" s="258"/>
      <c r="S38" s="256"/>
      <c r="T38" s="256"/>
      <c r="U38" s="256"/>
    </row>
    <row r="39" spans="1:21" ht="15.75" customHeight="1" x14ac:dyDescent="0.25">
      <c r="A39" s="12"/>
      <c r="B39" s="66" t="str">
        <f>IF(AND(F39="")," ",$D$6&amp;"_"&amp;ROW()-20-COUNTBLANK($F$21:F39))</f>
        <v xml:space="preserve"> </v>
      </c>
      <c r="C39" s="354" t="s">
        <v>119</v>
      </c>
      <c r="D39" s="355"/>
      <c r="E39" s="355"/>
      <c r="F39" s="355"/>
      <c r="G39" s="356"/>
      <c r="H39" s="146"/>
      <c r="I39" s="256"/>
      <c r="J39" s="42"/>
      <c r="K39" s="257"/>
      <c r="L39" s="146"/>
      <c r="M39" s="256"/>
      <c r="N39" s="42"/>
      <c r="O39" s="256"/>
      <c r="P39" s="256"/>
      <c r="Q39" s="256"/>
      <c r="R39" s="258"/>
      <c r="S39" s="256"/>
      <c r="T39" s="256"/>
      <c r="U39" s="256"/>
    </row>
    <row r="40" spans="1:21" ht="21" x14ac:dyDescent="0.25">
      <c r="A40" s="12"/>
      <c r="B40" s="66"/>
      <c r="C40" s="381" t="s">
        <v>120</v>
      </c>
      <c r="D40" s="382"/>
      <c r="E40" s="382"/>
      <c r="F40" s="382"/>
      <c r="G40" s="383"/>
      <c r="H40" s="146"/>
      <c r="I40" s="92"/>
      <c r="J40" s="42"/>
      <c r="K40" s="259"/>
      <c r="L40" s="146"/>
      <c r="M40" s="92"/>
      <c r="N40" s="42"/>
      <c r="O40" s="260"/>
      <c r="P40" s="260"/>
      <c r="Q40" s="260"/>
      <c r="R40" s="259"/>
      <c r="S40" s="92"/>
      <c r="T40" s="92"/>
      <c r="U40" s="260"/>
    </row>
    <row r="41" spans="1:21" ht="96.6" x14ac:dyDescent="0.25">
      <c r="A41" s="12"/>
      <c r="B41" s="66" t="str">
        <f>IF(AND(F41="")," ",$D$6&amp;"_"&amp;ROW()-20-COUNTBLANK($F$21:F41))</f>
        <v>&lt;Đăng nhập&gt;_14</v>
      </c>
      <c r="C41" s="364" t="s">
        <v>121</v>
      </c>
      <c r="D41" s="90" t="s">
        <v>112</v>
      </c>
      <c r="E41" s="86" t="s">
        <v>122</v>
      </c>
      <c r="F41" s="117" t="s">
        <v>123</v>
      </c>
      <c r="G41" s="146" t="s">
        <v>124</v>
      </c>
      <c r="H41" s="146" t="s">
        <v>28</v>
      </c>
      <c r="I41" s="80"/>
      <c r="J41" s="42" t="s">
        <v>74</v>
      </c>
      <c r="K41" s="178"/>
      <c r="L41" s="146" t="s">
        <v>28</v>
      </c>
      <c r="M41" s="80"/>
      <c r="N41" s="42" t="s">
        <v>75</v>
      </c>
      <c r="O41" s="179"/>
      <c r="P41" s="179"/>
      <c r="Q41" s="179"/>
      <c r="R41" s="178"/>
      <c r="S41" s="80"/>
      <c r="T41" s="80"/>
      <c r="U41" s="179"/>
    </row>
    <row r="42" spans="1:21" ht="138.6" customHeight="1" x14ac:dyDescent="0.25">
      <c r="A42" s="12"/>
      <c r="B42" s="66" t="str">
        <f>IF(AND(F42="")," ",$D$6&amp;"_"&amp;ROW()-20-COUNTBLANK($F$21:F42))</f>
        <v>&lt;Đăng nhập&gt;_15</v>
      </c>
      <c r="C42" s="365"/>
      <c r="D42" s="86" t="s">
        <v>112</v>
      </c>
      <c r="E42" s="110" t="s">
        <v>125</v>
      </c>
      <c r="F42" s="127" t="s">
        <v>126</v>
      </c>
      <c r="G42" s="146" t="s">
        <v>127</v>
      </c>
      <c r="H42" s="200" t="s">
        <v>29</v>
      </c>
      <c r="I42" s="77"/>
      <c r="J42" s="42" t="s">
        <v>74</v>
      </c>
      <c r="K42" s="251" t="s">
        <v>128</v>
      </c>
      <c r="L42" s="146" t="s">
        <v>28</v>
      </c>
      <c r="M42" s="77"/>
      <c r="N42" s="42" t="s">
        <v>75</v>
      </c>
      <c r="O42" s="261"/>
      <c r="P42" s="261"/>
      <c r="Q42" s="261"/>
      <c r="R42" s="251"/>
      <c r="S42" s="77"/>
      <c r="T42" s="77"/>
      <c r="U42" s="261"/>
    </row>
    <row r="43" spans="1:21" ht="167.1" customHeight="1" x14ac:dyDescent="0.25">
      <c r="A43" s="12"/>
      <c r="B43" s="66" t="str">
        <f>IF(AND(F43="")," ",$D$6&amp;"_"&amp;ROW()-20-COUNTBLANK($F$21:F43))</f>
        <v>&lt;Đăng nhập&gt;_16</v>
      </c>
      <c r="C43" s="365"/>
      <c r="D43" s="86" t="s">
        <v>112</v>
      </c>
      <c r="E43" s="127" t="s">
        <v>129</v>
      </c>
      <c r="F43" s="127" t="s">
        <v>130</v>
      </c>
      <c r="G43" s="262" t="s">
        <v>131</v>
      </c>
      <c r="H43" s="200" t="s">
        <v>29</v>
      </c>
      <c r="I43" s="80"/>
      <c r="J43" s="42" t="s">
        <v>74</v>
      </c>
      <c r="K43" s="178" t="s">
        <v>132</v>
      </c>
      <c r="L43" s="146" t="s">
        <v>28</v>
      </c>
      <c r="M43" s="80"/>
      <c r="N43" s="42" t="s">
        <v>75</v>
      </c>
      <c r="O43" s="179"/>
      <c r="P43" s="179"/>
      <c r="Q43" s="179"/>
      <c r="R43" s="178"/>
      <c r="S43" s="80"/>
      <c r="T43" s="80"/>
      <c r="U43" s="179"/>
    </row>
    <row r="44" spans="1:21" ht="138.6" customHeight="1" x14ac:dyDescent="0.25">
      <c r="A44" s="12"/>
      <c r="B44" s="66" t="str">
        <f>IF(AND(F44="")," ",$D$6&amp;"_"&amp;ROW()-20-COUNTBLANK($F$21:F44))</f>
        <v>&lt;Đăng nhập&gt;_17</v>
      </c>
      <c r="C44" s="366"/>
      <c r="D44" s="150" t="s">
        <v>133</v>
      </c>
      <c r="E44" s="150" t="s">
        <v>134</v>
      </c>
      <c r="F44" s="127" t="s">
        <v>135</v>
      </c>
      <c r="G44" s="262" t="s">
        <v>136</v>
      </c>
      <c r="H44" s="146" t="s">
        <v>28</v>
      </c>
      <c r="I44" s="142"/>
      <c r="J44" s="42" t="s">
        <v>74</v>
      </c>
      <c r="K44" s="251"/>
      <c r="L44" s="146" t="s">
        <v>28</v>
      </c>
      <c r="M44" s="77"/>
      <c r="N44" s="42" t="s">
        <v>75</v>
      </c>
      <c r="O44" s="261"/>
      <c r="P44" s="261"/>
      <c r="Q44" s="261"/>
      <c r="R44" s="251"/>
      <c r="S44" s="77"/>
      <c r="T44" s="77"/>
      <c r="U44" s="261"/>
    </row>
    <row r="45" spans="1:21" ht="21" x14ac:dyDescent="0.25">
      <c r="A45" s="12"/>
      <c r="B45" s="66"/>
      <c r="C45" s="381" t="s">
        <v>137</v>
      </c>
      <c r="D45" s="382"/>
      <c r="E45" s="382"/>
      <c r="F45" s="382"/>
      <c r="G45" s="383"/>
      <c r="H45" s="146"/>
      <c r="I45" s="92"/>
      <c r="J45" s="42"/>
      <c r="K45" s="259"/>
      <c r="L45" s="146"/>
      <c r="M45" s="92"/>
      <c r="N45" s="42"/>
      <c r="O45" s="260"/>
      <c r="P45" s="260"/>
      <c r="Q45" s="260"/>
      <c r="R45" s="259"/>
      <c r="S45" s="92"/>
      <c r="T45" s="92"/>
      <c r="U45" s="260"/>
    </row>
    <row r="46" spans="1:21" ht="82.8" x14ac:dyDescent="0.25">
      <c r="A46" s="12"/>
      <c r="B46" s="66" t="str">
        <f>IF(AND(F46="")," ",$D$6&amp;"_"&amp;ROW()-20-COUNTBLANK($F$21:F46))</f>
        <v>&lt;Đăng nhập&gt;_18</v>
      </c>
      <c r="C46" s="164" t="s">
        <v>137</v>
      </c>
      <c r="D46" s="168" t="s">
        <v>138</v>
      </c>
      <c r="E46" s="110" t="s">
        <v>139</v>
      </c>
      <c r="F46" s="127" t="s">
        <v>140</v>
      </c>
      <c r="G46" s="262" t="s">
        <v>141</v>
      </c>
      <c r="H46" s="200" t="s">
        <v>29</v>
      </c>
      <c r="I46" s="96"/>
      <c r="J46" s="42" t="s">
        <v>74</v>
      </c>
      <c r="K46" s="207" t="s">
        <v>142</v>
      </c>
      <c r="L46" s="324" t="s">
        <v>28</v>
      </c>
      <c r="M46" s="52"/>
      <c r="N46" s="42" t="s">
        <v>75</v>
      </c>
      <c r="O46" s="250"/>
      <c r="P46" s="250"/>
      <c r="Q46" s="250"/>
      <c r="R46" s="207"/>
      <c r="S46" s="52"/>
      <c r="T46" s="52"/>
      <c r="U46" s="250"/>
    </row>
    <row r="47" spans="1:21" ht="89.25" customHeight="1" x14ac:dyDescent="0.25">
      <c r="A47" s="12"/>
      <c r="B47" s="66" t="str">
        <f>IF(AND(F47="")," ",$D$6&amp;"_"&amp;ROW()-20-COUNTBLANK($F$21:F47))</f>
        <v>&lt;Đăng nhập&gt;_19</v>
      </c>
      <c r="C47" s="90"/>
      <c r="D47" s="86"/>
      <c r="E47" s="127" t="s">
        <v>143</v>
      </c>
      <c r="F47" s="127" t="s">
        <v>144</v>
      </c>
      <c r="G47" s="145" t="s">
        <v>145</v>
      </c>
      <c r="H47" s="146" t="s">
        <v>28</v>
      </c>
      <c r="I47" s="52"/>
      <c r="J47" s="42" t="s">
        <v>74</v>
      </c>
      <c r="K47" s="207"/>
      <c r="L47" s="146" t="s">
        <v>28</v>
      </c>
      <c r="M47" s="52"/>
      <c r="N47" s="42" t="s">
        <v>75</v>
      </c>
      <c r="O47" s="250"/>
      <c r="P47" s="250"/>
      <c r="Q47" s="250"/>
      <c r="R47" s="207"/>
      <c r="S47" s="52"/>
      <c r="T47" s="52"/>
      <c r="U47" s="250"/>
    </row>
    <row r="48" spans="1:21" ht="92.55" customHeight="1" x14ac:dyDescent="0.25">
      <c r="A48" s="12"/>
      <c r="B48" s="66" t="str">
        <f>IF(AND(F48="")," ",$D$6&amp;"_"&amp;ROW()-20-COUNTBLANK($F$21:F48))</f>
        <v>&lt;Đăng nhập&gt;_20</v>
      </c>
      <c r="C48" s="90"/>
      <c r="D48" s="86"/>
      <c r="E48" s="127" t="s">
        <v>146</v>
      </c>
      <c r="F48" s="127" t="s">
        <v>147</v>
      </c>
      <c r="G48" s="145" t="s">
        <v>148</v>
      </c>
      <c r="H48" s="146" t="s">
        <v>28</v>
      </c>
      <c r="I48" s="52"/>
      <c r="J48" s="42" t="s">
        <v>74</v>
      </c>
      <c r="K48" s="207"/>
      <c r="L48" s="146" t="s">
        <v>28</v>
      </c>
      <c r="M48" s="52"/>
      <c r="N48" s="42" t="s">
        <v>75</v>
      </c>
      <c r="O48" s="250"/>
      <c r="P48" s="250"/>
      <c r="Q48" s="250"/>
      <c r="R48" s="207"/>
      <c r="S48" s="52"/>
      <c r="T48" s="52"/>
      <c r="U48" s="250"/>
    </row>
    <row r="49" spans="1:21" ht="117" customHeight="1" x14ac:dyDescent="0.25">
      <c r="A49" s="12"/>
      <c r="B49" s="66" t="str">
        <f>IF(AND(F49="")," ",$D$6&amp;"_"&amp;ROW()-20-COUNTBLANK($F$21:F49))</f>
        <v>&lt;Đăng nhập&gt;_21</v>
      </c>
      <c r="C49" s="90"/>
      <c r="D49" s="86"/>
      <c r="E49" s="127" t="s">
        <v>149</v>
      </c>
      <c r="F49" s="127" t="s">
        <v>150</v>
      </c>
      <c r="G49" s="145" t="s">
        <v>145</v>
      </c>
      <c r="H49" s="200" t="s">
        <v>30</v>
      </c>
      <c r="I49" s="52"/>
      <c r="J49" s="42" t="s">
        <v>74</v>
      </c>
      <c r="K49" s="207" t="s">
        <v>142</v>
      </c>
      <c r="L49" s="200" t="s">
        <v>30</v>
      </c>
      <c r="M49" s="52"/>
      <c r="N49" s="42" t="s">
        <v>75</v>
      </c>
      <c r="O49" s="250"/>
      <c r="P49" s="250"/>
      <c r="Q49" s="250"/>
      <c r="R49" s="207"/>
      <c r="S49" s="52"/>
      <c r="T49" s="52"/>
      <c r="U49" s="250"/>
    </row>
    <row r="50" spans="1:21" s="71" customFormat="1" ht="20.399999999999999" x14ac:dyDescent="0.25">
      <c r="A50" s="70"/>
      <c r="B50" s="69"/>
      <c r="C50" s="384" t="s">
        <v>151</v>
      </c>
      <c r="D50" s="385"/>
      <c r="E50" s="385"/>
      <c r="F50" s="385"/>
      <c r="G50" s="386"/>
      <c r="H50" s="146"/>
      <c r="I50" s="154"/>
      <c r="J50" s="42"/>
      <c r="K50" s="239"/>
      <c r="L50" s="146"/>
      <c r="M50" s="154"/>
      <c r="N50" s="42"/>
      <c r="O50" s="154"/>
      <c r="P50" s="154"/>
      <c r="Q50" s="154"/>
      <c r="R50" s="239"/>
      <c r="S50" s="154"/>
      <c r="T50" s="154"/>
      <c r="U50" s="154"/>
    </row>
    <row r="51" spans="1:21" ht="21" x14ac:dyDescent="0.25">
      <c r="A51" s="12"/>
      <c r="B51" s="66" t="str">
        <f>IF(AND(F51="")," ",$D$6&amp;"_"&amp;ROW()-20-COUNTBLANK($F$21:F51))</f>
        <v xml:space="preserve"> </v>
      </c>
      <c r="C51" s="377" t="s">
        <v>68</v>
      </c>
      <c r="D51" s="378"/>
      <c r="E51" s="378"/>
      <c r="F51" s="378"/>
      <c r="G51" s="379"/>
      <c r="H51" s="146"/>
      <c r="I51" s="36"/>
      <c r="J51" s="42"/>
      <c r="K51" s="254"/>
      <c r="L51" s="146"/>
      <c r="M51" s="36"/>
      <c r="N51" s="42"/>
      <c r="O51" s="255"/>
      <c r="P51" s="255"/>
      <c r="Q51" s="255"/>
      <c r="R51" s="254"/>
      <c r="S51" s="36"/>
      <c r="T51" s="36"/>
      <c r="U51" s="255"/>
    </row>
    <row r="52" spans="1:21" ht="161.25" customHeight="1" x14ac:dyDescent="0.25">
      <c r="A52" s="12"/>
      <c r="B52" s="66" t="str">
        <f>IF(AND(F52="")," ",$D$6&amp;"_"&amp;ROW()-20-COUNTBLANK($F$21:F52))</f>
        <v>&lt;Đăng nhập&gt;_22</v>
      </c>
      <c r="C52" s="165" t="s">
        <v>69</v>
      </c>
      <c r="D52" s="86" t="s">
        <v>152</v>
      </c>
      <c r="E52" s="112" t="s">
        <v>153</v>
      </c>
      <c r="F52" s="197" t="s">
        <v>154</v>
      </c>
      <c r="G52" s="146" t="s">
        <v>155</v>
      </c>
      <c r="H52" s="146" t="s">
        <v>28</v>
      </c>
      <c r="I52" s="256"/>
      <c r="J52" s="42" t="s">
        <v>74</v>
      </c>
      <c r="K52" s="257"/>
      <c r="L52" s="146" t="s">
        <v>28</v>
      </c>
      <c r="M52" s="256"/>
      <c r="N52" s="42" t="s">
        <v>75</v>
      </c>
      <c r="O52" s="256"/>
      <c r="P52" s="256"/>
      <c r="Q52" s="256"/>
      <c r="R52" s="258"/>
      <c r="S52" s="256"/>
      <c r="T52" s="256"/>
      <c r="U52" s="256"/>
    </row>
    <row r="53" spans="1:21" ht="27.6" x14ac:dyDescent="0.25">
      <c r="A53" s="12"/>
      <c r="B53" s="66" t="str">
        <f>IF(AND(F53="")," ",$D$6&amp;"_"&amp;ROW()-20-COUNTBLANK($F$21:F53))</f>
        <v>&lt;Đăng nhập&gt;_23</v>
      </c>
      <c r="C53" s="166"/>
      <c r="D53" s="145" t="s">
        <v>156</v>
      </c>
      <c r="E53" s="146" t="s">
        <v>157</v>
      </c>
      <c r="F53" s="146" t="s">
        <v>158</v>
      </c>
      <c r="G53" s="146" t="s">
        <v>79</v>
      </c>
      <c r="H53" s="146" t="s">
        <v>28</v>
      </c>
      <c r="I53" s="263"/>
      <c r="J53" s="42" t="s">
        <v>74</v>
      </c>
      <c r="K53" s="264"/>
      <c r="L53" s="146" t="s">
        <v>28</v>
      </c>
      <c r="M53" s="263"/>
      <c r="N53" s="42" t="s">
        <v>75</v>
      </c>
      <c r="O53" s="263"/>
      <c r="P53" s="263"/>
      <c r="Q53" s="263"/>
      <c r="R53" s="265"/>
      <c r="S53" s="263"/>
      <c r="T53" s="263"/>
      <c r="U53" s="263"/>
    </row>
    <row r="54" spans="1:21" ht="69" x14ac:dyDescent="0.25">
      <c r="A54" s="12"/>
      <c r="B54" s="66" t="str">
        <f>IF(AND(F54="")," ",$D$6&amp;"_"&amp;ROW()-20-COUNTBLANK($F$21:F54))</f>
        <v>&lt;Đăng nhập&gt;_24</v>
      </c>
      <c r="C54" s="167"/>
      <c r="D54" s="148"/>
      <c r="E54" s="148" t="s">
        <v>159</v>
      </c>
      <c r="F54" s="146" t="s">
        <v>81</v>
      </c>
      <c r="G54" s="146" t="s">
        <v>160</v>
      </c>
      <c r="H54" s="146" t="s">
        <v>28</v>
      </c>
      <c r="I54" s="263"/>
      <c r="J54" s="42" t="s">
        <v>74</v>
      </c>
      <c r="K54" s="264"/>
      <c r="L54" s="146" t="s">
        <v>28</v>
      </c>
      <c r="M54" s="263"/>
      <c r="N54" s="42" t="s">
        <v>75</v>
      </c>
      <c r="O54" s="263"/>
      <c r="P54" s="263"/>
      <c r="Q54" s="263"/>
      <c r="R54" s="265"/>
      <c r="S54" s="263"/>
      <c r="T54" s="263"/>
      <c r="U54" s="263"/>
    </row>
    <row r="55" spans="1:21" ht="18" customHeight="1" x14ac:dyDescent="0.25">
      <c r="A55" s="12"/>
      <c r="B55" s="66" t="str">
        <f>IF(AND(F55="")," ",$D$6&amp;"_"&amp;ROW()-20-COUNTBLANK($F$21:F55))</f>
        <v xml:space="preserve"> </v>
      </c>
      <c r="C55" s="357" t="s">
        <v>161</v>
      </c>
      <c r="D55" s="358"/>
      <c r="E55" s="358"/>
      <c r="F55" s="358"/>
      <c r="G55" s="359"/>
      <c r="H55" s="146"/>
      <c r="I55" s="263"/>
      <c r="J55" s="42"/>
      <c r="K55" s="264"/>
      <c r="L55" s="146"/>
      <c r="M55" s="263"/>
      <c r="N55" s="42"/>
      <c r="O55" s="263"/>
      <c r="P55" s="263"/>
      <c r="Q55" s="263"/>
      <c r="R55" s="265"/>
      <c r="S55" s="263"/>
      <c r="T55" s="263"/>
      <c r="U55" s="263"/>
    </row>
    <row r="56" spans="1:21" ht="96.75" customHeight="1" x14ac:dyDescent="0.25">
      <c r="A56" s="12"/>
      <c r="B56" s="66" t="str">
        <f>IF(AND(F56="")," ",$D$6&amp;"_"&amp;ROW()-20-COUNTBLANK($F$21:F56))</f>
        <v>&lt;Đăng nhập&gt;_25</v>
      </c>
      <c r="C56" s="145" t="s">
        <v>162</v>
      </c>
      <c r="D56" s="90" t="s">
        <v>152</v>
      </c>
      <c r="E56" s="86" t="s">
        <v>163</v>
      </c>
      <c r="F56" s="266" t="s">
        <v>164</v>
      </c>
      <c r="G56" s="267" t="s">
        <v>165</v>
      </c>
      <c r="H56" s="146" t="s">
        <v>28</v>
      </c>
      <c r="I56" s="263"/>
      <c r="J56" s="42" t="s">
        <v>74</v>
      </c>
      <c r="K56" s="264"/>
      <c r="L56" s="146" t="s">
        <v>28</v>
      </c>
      <c r="M56" s="263"/>
      <c r="N56" s="42" t="s">
        <v>75</v>
      </c>
      <c r="O56" s="263"/>
      <c r="P56" s="263"/>
      <c r="Q56" s="263"/>
      <c r="R56" s="265"/>
      <c r="S56" s="263"/>
      <c r="T56" s="263"/>
      <c r="U56" s="263"/>
    </row>
    <row r="57" spans="1:21" ht="189.6" customHeight="1" x14ac:dyDescent="0.25">
      <c r="A57" s="12"/>
      <c r="B57" s="66" t="str">
        <f>IF(AND(F57="")," ",$D$6&amp;"_"&amp;ROW()-20-COUNTBLANK($F$21:F57))</f>
        <v>&lt;Đăng nhập&gt;_26</v>
      </c>
      <c r="C57" s="162"/>
      <c r="D57" s="90" t="s">
        <v>152</v>
      </c>
      <c r="E57" s="86" t="s">
        <v>166</v>
      </c>
      <c r="F57" s="266" t="s">
        <v>167</v>
      </c>
      <c r="G57" s="267" t="s">
        <v>168</v>
      </c>
      <c r="H57" s="200" t="s">
        <v>29</v>
      </c>
      <c r="I57" s="263"/>
      <c r="J57" s="42" t="s">
        <v>74</v>
      </c>
      <c r="K57" s="264"/>
      <c r="L57" s="146" t="s">
        <v>28</v>
      </c>
      <c r="M57" s="263"/>
      <c r="N57" s="42" t="s">
        <v>75</v>
      </c>
      <c r="O57" s="263"/>
      <c r="P57" s="263"/>
      <c r="Q57" s="263"/>
      <c r="R57" s="265"/>
      <c r="S57" s="263"/>
      <c r="T57" s="263"/>
      <c r="U57" s="263"/>
    </row>
    <row r="58" spans="1:21" ht="187.5" customHeight="1" x14ac:dyDescent="0.25">
      <c r="A58" s="12"/>
      <c r="B58" s="66" t="str">
        <f>IF(AND(F58="")," ",$D$6&amp;"_"&amp;ROW()-20-COUNTBLANK($F$21:F58))</f>
        <v>&lt;Đăng nhập&gt;_27</v>
      </c>
      <c r="C58" s="163"/>
      <c r="D58" s="87" t="s">
        <v>152</v>
      </c>
      <c r="E58" s="86" t="s">
        <v>166</v>
      </c>
      <c r="F58" s="266" t="s">
        <v>169</v>
      </c>
      <c r="G58" s="268" t="s">
        <v>170</v>
      </c>
      <c r="H58" s="146" t="s">
        <v>28</v>
      </c>
      <c r="I58" s="263"/>
      <c r="J58" s="42" t="s">
        <v>74</v>
      </c>
      <c r="K58" s="264"/>
      <c r="L58" s="146" t="s">
        <v>28</v>
      </c>
      <c r="M58" s="263"/>
      <c r="N58" s="42" t="s">
        <v>75</v>
      </c>
      <c r="O58" s="263"/>
      <c r="P58" s="263"/>
      <c r="Q58" s="263"/>
      <c r="R58" s="265"/>
      <c r="S58" s="263"/>
      <c r="T58" s="263"/>
      <c r="U58" s="263"/>
    </row>
    <row r="59" spans="1:21" ht="98.1" customHeight="1" x14ac:dyDescent="0.25">
      <c r="A59" s="12"/>
      <c r="B59" s="66" t="str">
        <f>IF(AND(F59="")," ",$D$6&amp;"_"&amp;ROW()-20-COUNTBLANK($F$21:F59))</f>
        <v>&lt;Đăng nhập&gt;_28</v>
      </c>
      <c r="C59" s="369" t="s">
        <v>171</v>
      </c>
      <c r="D59" s="90" t="s">
        <v>152</v>
      </c>
      <c r="E59" s="86" t="s">
        <v>172</v>
      </c>
      <c r="F59" s="266" t="s">
        <v>173</v>
      </c>
      <c r="G59" s="267" t="s">
        <v>174</v>
      </c>
      <c r="H59" s="146" t="s">
        <v>28</v>
      </c>
      <c r="I59" s="263"/>
      <c r="J59" s="42" t="s">
        <v>74</v>
      </c>
      <c r="K59" s="264"/>
      <c r="L59" s="146" t="s">
        <v>28</v>
      </c>
      <c r="M59" s="263"/>
      <c r="N59" s="42" t="s">
        <v>75</v>
      </c>
      <c r="O59" s="263"/>
      <c r="P59" s="263"/>
      <c r="Q59" s="263"/>
      <c r="R59" s="265"/>
      <c r="S59" s="263"/>
      <c r="T59" s="263"/>
      <c r="U59" s="263"/>
    </row>
    <row r="60" spans="1:21" ht="90.6" customHeight="1" x14ac:dyDescent="0.25">
      <c r="A60" s="12"/>
      <c r="B60" s="66" t="str">
        <f>IF(AND(F60="")," ",$D$6&amp;"_"&amp;ROW()-20-COUNTBLANK($F$21:F60))</f>
        <v>&lt;Đăng nhập&gt;_29</v>
      </c>
      <c r="C60" s="370"/>
      <c r="D60" s="90" t="s">
        <v>152</v>
      </c>
      <c r="E60" s="86" t="s">
        <v>175</v>
      </c>
      <c r="F60" s="266" t="s">
        <v>176</v>
      </c>
      <c r="G60" s="267" t="s">
        <v>177</v>
      </c>
      <c r="H60" s="146" t="s">
        <v>28</v>
      </c>
      <c r="I60" s="263"/>
      <c r="J60" s="42" t="s">
        <v>74</v>
      </c>
      <c r="K60" s="264"/>
      <c r="L60" s="146" t="s">
        <v>28</v>
      </c>
      <c r="M60" s="263"/>
      <c r="N60" s="42" t="s">
        <v>75</v>
      </c>
      <c r="O60" s="263"/>
      <c r="P60" s="263"/>
      <c r="Q60" s="263"/>
      <c r="R60" s="265"/>
      <c r="S60" s="263"/>
      <c r="T60" s="263"/>
      <c r="U60" s="263"/>
    </row>
    <row r="61" spans="1:21" ht="92.55" customHeight="1" x14ac:dyDescent="0.25">
      <c r="A61" s="12"/>
      <c r="B61" s="99" t="str">
        <f>IF(AND(F61="")," ",$D$6&amp;"_"&amp;ROW()-20-COUNTBLANK($F$21:F61))</f>
        <v>&lt;Đăng nhập&gt;_30</v>
      </c>
      <c r="C61" s="371"/>
      <c r="D61" s="269" t="s">
        <v>152</v>
      </c>
      <c r="E61" s="86" t="s">
        <v>178</v>
      </c>
      <c r="F61" s="270" t="s">
        <v>179</v>
      </c>
      <c r="G61" s="271" t="s">
        <v>180</v>
      </c>
      <c r="H61" s="147" t="s">
        <v>28</v>
      </c>
      <c r="I61" s="272"/>
      <c r="J61" s="42" t="s">
        <v>74</v>
      </c>
      <c r="K61" s="273"/>
      <c r="L61" s="147" t="s">
        <v>28</v>
      </c>
      <c r="M61" s="272"/>
      <c r="N61" s="42" t="s">
        <v>75</v>
      </c>
      <c r="O61" s="272"/>
      <c r="P61" s="272"/>
      <c r="Q61" s="272"/>
      <c r="R61" s="274"/>
      <c r="S61" s="272"/>
      <c r="T61" s="272"/>
      <c r="U61" s="272"/>
    </row>
  </sheetData>
  <mergeCells count="36">
    <mergeCell ref="D5:F5"/>
    <mergeCell ref="D6:F6"/>
    <mergeCell ref="D7:F7"/>
    <mergeCell ref="A21:A25"/>
    <mergeCell ref="C55:G55"/>
    <mergeCell ref="B15:B17"/>
    <mergeCell ref="C15:C17"/>
    <mergeCell ref="D15:D17"/>
    <mergeCell ref="C18:U18"/>
    <mergeCell ref="H15:T15"/>
    <mergeCell ref="U15:U17"/>
    <mergeCell ref="H16:K16"/>
    <mergeCell ref="L16:O16"/>
    <mergeCell ref="P16:S16"/>
    <mergeCell ref="T16:T17"/>
    <mergeCell ref="E15:E17"/>
    <mergeCell ref="C41:C44"/>
    <mergeCell ref="F15:F17"/>
    <mergeCell ref="C59:C61"/>
    <mergeCell ref="C21:C23"/>
    <mergeCell ref="C26:C27"/>
    <mergeCell ref="C28:C29"/>
    <mergeCell ref="D28:D29"/>
    <mergeCell ref="C33:G33"/>
    <mergeCell ref="C35:G35"/>
    <mergeCell ref="C34:G34"/>
    <mergeCell ref="C40:G40"/>
    <mergeCell ref="C45:G45"/>
    <mergeCell ref="C50:G50"/>
    <mergeCell ref="C51:G51"/>
    <mergeCell ref="D14:F14"/>
    <mergeCell ref="C25:G25"/>
    <mergeCell ref="C30:G30"/>
    <mergeCell ref="C39:G39"/>
    <mergeCell ref="C19:G19"/>
    <mergeCell ref="G15:G17"/>
  </mergeCells>
  <dataValidations count="3">
    <dataValidation type="list" allowBlank="1" showInputMessage="1" showErrorMessage="1" sqref="T21:U24 O21:Q24" xr:uid="{00000000-0002-0000-0300-000000000000}">
      <formula1>#REF!</formula1>
    </dataValidation>
    <dataValidation type="list" allowBlank="1" showInputMessage="1" showErrorMessage="1" sqref="K21:K24" xr:uid="{00000000-0002-0000-0300-000001000000}">
      <formula1>$C$25:$C$25</formula1>
    </dataValidation>
    <dataValidation type="list" showInputMessage="1" showErrorMessage="1" sqref="H21:H32 H36:H61 L21:L32 L36:L61" xr:uid="{4C8A8341-2A5E-40FE-A4A5-8BFAF4CE365B}">
      <formula1>#REF!</formula1>
    </dataValidation>
  </dataValidations>
  <pageMargins left="0.7" right="0.7" top="0.75" bottom="0.75" header="0.3" footer="0.3"/>
  <pageSetup paperSize="9"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FA671-42F0-4B2D-B611-0BD58EB0EEE5}">
  <sheetPr codeName="Sheet5">
    <tabColor theme="5" tint="-0.249977111117893"/>
  </sheetPr>
  <dimension ref="A1:U54"/>
  <sheetViews>
    <sheetView showGridLines="0" topLeftCell="A21" zoomScale="40" zoomScaleNormal="40" workbookViewId="0">
      <selection activeCell="D24" sqref="D24:D29"/>
    </sheetView>
  </sheetViews>
  <sheetFormatPr defaultColWidth="8.796875" defaultRowHeight="15" x14ac:dyDescent="0.25"/>
  <cols>
    <col min="2" max="2" width="17.69921875" style="67" customWidth="1"/>
    <col min="3" max="3" width="31.5" customWidth="1"/>
    <col min="4" max="5" width="30.69921875" customWidth="1"/>
    <col min="6" max="6" width="28" style="61" customWidth="1"/>
    <col min="7" max="7" width="28.796875" customWidth="1"/>
    <col min="8" max="8" width="18.796875" style="156" customWidth="1"/>
    <col min="9" max="9" width="18.796875" style="151" customWidth="1"/>
    <col min="10" max="10" width="18.796875" style="156" customWidth="1"/>
    <col min="11" max="11" width="12.69921875" style="23" customWidth="1"/>
    <col min="12" max="12" width="18.796875" style="156" customWidth="1"/>
    <col min="13" max="13" width="18.796875" customWidth="1"/>
    <col min="14" max="14" width="18.796875" style="156" customWidth="1"/>
    <col min="15" max="17" width="27.5" customWidth="1"/>
    <col min="18" max="18" width="12.5" style="23" customWidth="1"/>
    <col min="19" max="19" width="27.19921875" customWidth="1"/>
    <col min="20" max="21" width="22.796875" customWidth="1"/>
  </cols>
  <sheetData>
    <row r="1" spans="1:21" ht="15.6" x14ac:dyDescent="0.3">
      <c r="A1" s="12"/>
      <c r="B1" s="63"/>
      <c r="C1" s="12"/>
      <c r="D1" s="12"/>
      <c r="E1" s="12"/>
      <c r="F1" s="59"/>
      <c r="G1" s="12"/>
      <c r="H1" s="152"/>
      <c r="I1" s="149"/>
      <c r="J1" s="202"/>
      <c r="K1" s="2"/>
      <c r="L1" s="152"/>
      <c r="M1" s="12"/>
      <c r="N1" s="202"/>
      <c r="O1" s="12"/>
      <c r="P1" s="12"/>
      <c r="Q1" s="12"/>
      <c r="R1" s="13"/>
      <c r="S1" s="12"/>
      <c r="T1" s="12"/>
      <c r="U1" s="12"/>
    </row>
    <row r="2" spans="1:21" ht="15.6" x14ac:dyDescent="0.3">
      <c r="A2" s="12"/>
      <c r="B2" s="63"/>
      <c r="C2" s="12"/>
      <c r="D2" s="12"/>
      <c r="E2" s="12"/>
      <c r="F2" s="59"/>
      <c r="G2" s="12"/>
      <c r="H2" s="152"/>
      <c r="I2" s="149"/>
      <c r="J2" s="202"/>
      <c r="K2" s="2"/>
      <c r="L2" s="152"/>
      <c r="M2" s="12"/>
      <c r="N2" s="202"/>
      <c r="O2" s="12"/>
      <c r="P2" s="12"/>
      <c r="Q2" s="12"/>
      <c r="R2" s="13"/>
      <c r="S2" s="12"/>
      <c r="T2" s="12"/>
      <c r="U2" s="12"/>
    </row>
    <row r="3" spans="1:21" ht="15.6" x14ac:dyDescent="0.3">
      <c r="A3" s="12"/>
      <c r="B3" s="63"/>
      <c r="C3" s="12"/>
      <c r="D3" s="12"/>
      <c r="E3" s="12"/>
      <c r="F3" s="59"/>
      <c r="G3" s="12"/>
      <c r="H3" s="152"/>
      <c r="I3" s="149"/>
      <c r="J3" s="202"/>
      <c r="K3" s="2"/>
      <c r="L3" s="152"/>
      <c r="M3" s="12"/>
      <c r="N3" s="202"/>
      <c r="O3" s="12"/>
      <c r="P3" s="12"/>
      <c r="Q3" s="12"/>
      <c r="R3" s="13"/>
      <c r="S3" s="12"/>
      <c r="T3" s="12"/>
      <c r="U3" s="12"/>
    </row>
    <row r="4" spans="1:21" ht="15.6" x14ac:dyDescent="0.3">
      <c r="A4" s="12"/>
      <c r="B4" s="63"/>
      <c r="C4" s="12"/>
      <c r="D4" s="12"/>
      <c r="E4" s="12"/>
      <c r="F4" s="59"/>
      <c r="G4" s="12"/>
      <c r="H4" s="152"/>
      <c r="I4" s="149"/>
      <c r="J4" s="202"/>
      <c r="K4" s="2"/>
      <c r="L4" s="152"/>
      <c r="M4" s="12"/>
      <c r="N4" s="202"/>
      <c r="O4" s="12"/>
      <c r="P4" s="12"/>
      <c r="Q4" s="12"/>
      <c r="R4" s="13"/>
      <c r="S4" s="12"/>
      <c r="T4" s="12"/>
      <c r="U4" s="12"/>
    </row>
    <row r="5" spans="1:21" ht="17.399999999999999" x14ac:dyDescent="0.3">
      <c r="A5" s="12"/>
      <c r="B5" s="80"/>
      <c r="C5" s="305" t="s">
        <v>24</v>
      </c>
      <c r="D5" s="389" t="s">
        <v>36</v>
      </c>
      <c r="E5" s="389"/>
      <c r="F5" s="389"/>
      <c r="G5" s="120"/>
      <c r="H5" s="152"/>
      <c r="I5" s="149"/>
      <c r="J5" s="202"/>
      <c r="K5" s="2"/>
      <c r="L5" s="152"/>
      <c r="M5" s="12"/>
      <c r="N5" s="202"/>
      <c r="O5" s="12"/>
      <c r="P5" s="12"/>
      <c r="Q5" s="12"/>
      <c r="R5" s="13"/>
      <c r="S5" s="12"/>
      <c r="T5" s="12"/>
      <c r="U5" s="12"/>
    </row>
    <row r="6" spans="1:21" ht="17.399999999999999" x14ac:dyDescent="0.3">
      <c r="A6" s="12"/>
      <c r="B6" s="80"/>
      <c r="C6" s="305" t="s">
        <v>47</v>
      </c>
      <c r="D6" s="422" t="s">
        <v>181</v>
      </c>
      <c r="E6" s="422"/>
      <c r="F6" s="422"/>
      <c r="G6" s="121"/>
      <c r="H6" s="152"/>
      <c r="I6" s="149"/>
      <c r="J6" s="202"/>
      <c r="K6" s="2"/>
      <c r="L6" s="152"/>
      <c r="M6" s="12"/>
      <c r="N6" s="202"/>
      <c r="O6" s="12"/>
      <c r="P6" s="12"/>
      <c r="R6" s="13"/>
      <c r="S6" s="12"/>
      <c r="T6" s="12"/>
      <c r="U6" s="12"/>
    </row>
    <row r="7" spans="1:21" ht="17.399999999999999" x14ac:dyDescent="0.3">
      <c r="A7" s="12"/>
      <c r="B7" s="80"/>
      <c r="C7" s="305" t="s">
        <v>49</v>
      </c>
      <c r="D7" s="389"/>
      <c r="E7" s="389"/>
      <c r="F7" s="389"/>
      <c r="G7" s="120"/>
      <c r="H7" s="152"/>
      <c r="I7" s="149"/>
      <c r="J7" s="202"/>
      <c r="K7" s="2"/>
      <c r="L7" s="152"/>
      <c r="M7" s="12"/>
      <c r="N7" s="202"/>
      <c r="O7" s="12"/>
      <c r="P7" s="12"/>
      <c r="Q7" s="12"/>
      <c r="R7" s="13"/>
      <c r="S7" s="12"/>
      <c r="T7" s="12"/>
      <c r="U7" s="12"/>
    </row>
    <row r="8" spans="1:21" ht="17.399999999999999" x14ac:dyDescent="0.3">
      <c r="A8" s="12"/>
      <c r="B8" s="297"/>
      <c r="C8" s="306" t="s">
        <v>50</v>
      </c>
      <c r="D8" s="140" t="s">
        <v>25</v>
      </c>
      <c r="E8" s="140" t="s">
        <v>26</v>
      </c>
      <c r="F8" s="140" t="s">
        <v>27</v>
      </c>
      <c r="H8" s="152"/>
      <c r="I8" s="149"/>
      <c r="J8" s="202"/>
      <c r="K8" s="2"/>
      <c r="L8" s="152"/>
      <c r="M8" s="12"/>
      <c r="N8" s="202"/>
      <c r="O8" s="12"/>
      <c r="P8" s="12"/>
      <c r="Q8" s="12"/>
      <c r="R8" s="13"/>
      <c r="S8" s="12"/>
      <c r="T8" s="12"/>
      <c r="U8" s="12"/>
    </row>
    <row r="9" spans="1:21" ht="17.399999999999999" x14ac:dyDescent="0.3">
      <c r="A9" s="12"/>
      <c r="B9" s="42"/>
      <c r="C9" s="14" t="s">
        <v>51</v>
      </c>
      <c r="D9" s="16">
        <f>COUNTIF(H18:H133, "Pass*")</f>
        <v>20</v>
      </c>
      <c r="E9" s="16">
        <f>COUNTIF(L18:L133, "Pass*")</f>
        <v>30</v>
      </c>
      <c r="F9" s="16">
        <f>COUNTIF(P18:P133, "Pass*")</f>
        <v>0</v>
      </c>
      <c r="H9" s="152"/>
      <c r="I9" s="149"/>
      <c r="J9" s="202"/>
      <c r="K9" s="2"/>
      <c r="L9" s="152"/>
      <c r="M9" s="12"/>
      <c r="N9" s="202"/>
      <c r="O9" s="12"/>
      <c r="P9" s="12"/>
      <c r="Q9" s="12"/>
      <c r="R9" s="13"/>
      <c r="S9" s="12"/>
      <c r="T9" s="12"/>
      <c r="U9" s="12"/>
    </row>
    <row r="10" spans="1:21" ht="17.399999999999999" x14ac:dyDescent="0.3">
      <c r="A10" s="12"/>
      <c r="B10" s="42"/>
      <c r="C10" s="14" t="s">
        <v>52</v>
      </c>
      <c r="D10" s="16">
        <f>COUNTIF(H20:H134, "Fail")</f>
        <v>10</v>
      </c>
      <c r="E10" s="16">
        <f>COUNTIF(L20:L134, "Fail")</f>
        <v>0</v>
      </c>
      <c r="F10" s="16">
        <f>COUNTIF(P20:P134, "Fail")</f>
        <v>0</v>
      </c>
      <c r="H10" s="152"/>
      <c r="I10" s="149"/>
      <c r="J10" s="202"/>
      <c r="K10" s="2"/>
      <c r="L10" s="152"/>
      <c r="M10" s="12"/>
      <c r="N10" s="202"/>
      <c r="O10" s="12"/>
      <c r="P10" s="12"/>
      <c r="Q10" s="12"/>
      <c r="R10" s="13"/>
      <c r="S10" s="12"/>
      <c r="T10" s="12"/>
      <c r="U10" s="12"/>
    </row>
    <row r="11" spans="1:21" ht="17.399999999999999" x14ac:dyDescent="0.3">
      <c r="A11" s="12"/>
      <c r="B11" s="42"/>
      <c r="C11" s="14" t="s">
        <v>53</v>
      </c>
      <c r="D11" s="16"/>
      <c r="E11" s="16">
        <f>COUNTIF(L21:L135, "Untest")</f>
        <v>0</v>
      </c>
      <c r="F11" s="16">
        <f>COUNTIF(P21:P135, "Untest")</f>
        <v>0</v>
      </c>
      <c r="H11" s="152"/>
      <c r="I11" s="149"/>
      <c r="J11" s="202"/>
      <c r="K11" s="2"/>
      <c r="L11" s="152"/>
      <c r="M11" s="12"/>
      <c r="N11" s="202"/>
      <c r="O11" s="12"/>
      <c r="P11" s="12"/>
      <c r="Q11" s="12"/>
      <c r="R11" s="13"/>
      <c r="S11" s="12"/>
      <c r="T11" s="12"/>
      <c r="U11" s="12"/>
    </row>
    <row r="12" spans="1:21" ht="17.399999999999999" x14ac:dyDescent="0.3">
      <c r="A12" s="12"/>
      <c r="B12" s="42"/>
      <c r="C12" s="14" t="s">
        <v>54</v>
      </c>
      <c r="D12" s="16">
        <f>COUNTIF(H20:H136, "N/A")</f>
        <v>0</v>
      </c>
      <c r="E12" s="16">
        <f>COUNTIF(L22:L136, "N/A")</f>
        <v>0</v>
      </c>
      <c r="F12" s="16">
        <f>COUNTIF(P22:P136, "N/A")</f>
        <v>0</v>
      </c>
      <c r="H12" s="152"/>
      <c r="I12" s="149"/>
      <c r="J12" s="202"/>
      <c r="K12" s="2"/>
      <c r="L12" s="152"/>
      <c r="M12" s="12"/>
      <c r="N12" s="202"/>
      <c r="O12" s="12"/>
      <c r="P12" s="12"/>
      <c r="Q12" s="12"/>
      <c r="R12" s="13"/>
      <c r="S12" s="12"/>
      <c r="T12" s="12"/>
      <c r="U12" s="12"/>
    </row>
    <row r="13" spans="1:21" ht="17.399999999999999" x14ac:dyDescent="0.3">
      <c r="A13" s="12"/>
      <c r="B13" s="42"/>
      <c r="C13" s="17" t="s">
        <v>55</v>
      </c>
      <c r="D13" s="143">
        <f>COUNTIF(H20:H137, "Blocking")</f>
        <v>0</v>
      </c>
      <c r="E13" s="143">
        <f>COUNTIF(L23:L137, "Blocking")</f>
        <v>0</v>
      </c>
      <c r="F13" s="143">
        <f>COUNTIF(P23:P137, "Blocking")</f>
        <v>0</v>
      </c>
      <c r="H13" s="152"/>
      <c r="I13" s="149"/>
      <c r="J13" s="202"/>
      <c r="K13" s="2"/>
      <c r="L13" s="152"/>
      <c r="M13" s="12"/>
      <c r="N13" s="202"/>
      <c r="O13" s="12"/>
      <c r="P13" s="12"/>
      <c r="Q13" s="12"/>
      <c r="R13" s="13"/>
      <c r="S13" s="12"/>
      <c r="T13" s="12"/>
      <c r="U13" s="12"/>
    </row>
    <row r="14" spans="1:21" ht="17.399999999999999" x14ac:dyDescent="0.3">
      <c r="A14" s="12"/>
      <c r="B14" s="47"/>
      <c r="C14" s="279" t="s">
        <v>56</v>
      </c>
      <c r="D14" s="425">
        <f>COUNTA($F$21:$F$1232)</f>
        <v>31</v>
      </c>
      <c r="E14" s="425"/>
      <c r="F14" s="425"/>
      <c r="G14" s="144"/>
      <c r="H14" s="152"/>
      <c r="I14" s="149"/>
      <c r="J14" s="202"/>
      <c r="K14" s="2"/>
      <c r="L14" s="152"/>
      <c r="M14" s="12"/>
      <c r="N14" s="202"/>
      <c r="O14" s="12"/>
      <c r="P14" s="12"/>
      <c r="Q14" s="12"/>
      <c r="R14" s="13"/>
      <c r="S14" s="12"/>
      <c r="T14" s="12"/>
      <c r="U14" s="12"/>
    </row>
    <row r="15" spans="1:21" s="71" customFormat="1" ht="17.399999999999999" x14ac:dyDescent="0.25">
      <c r="A15" s="70"/>
      <c r="B15" s="414" t="s">
        <v>23</v>
      </c>
      <c r="C15" s="416" t="s">
        <v>57</v>
      </c>
      <c r="D15" s="416" t="s">
        <v>58</v>
      </c>
      <c r="E15" s="280"/>
      <c r="F15" s="416" t="s">
        <v>60</v>
      </c>
      <c r="G15" s="416" t="s">
        <v>61</v>
      </c>
      <c r="H15" s="411" t="s">
        <v>62</v>
      </c>
      <c r="I15" s="411"/>
      <c r="J15" s="411"/>
      <c r="K15" s="411"/>
      <c r="L15" s="411"/>
      <c r="M15" s="411"/>
      <c r="N15" s="411"/>
      <c r="O15" s="411"/>
      <c r="P15" s="411"/>
      <c r="Q15" s="411"/>
      <c r="R15" s="411"/>
      <c r="S15" s="411"/>
      <c r="T15" s="411"/>
      <c r="U15" s="417" t="s">
        <v>63</v>
      </c>
    </row>
    <row r="16" spans="1:21" s="71" customFormat="1" ht="17.399999999999999" x14ac:dyDescent="0.25">
      <c r="A16" s="70"/>
      <c r="B16" s="415"/>
      <c r="C16" s="391"/>
      <c r="D16" s="392"/>
      <c r="E16" s="102" t="s">
        <v>59</v>
      </c>
      <c r="F16" s="392"/>
      <c r="G16" s="392"/>
      <c r="H16" s="419" t="s">
        <v>25</v>
      </c>
      <c r="I16" s="419"/>
      <c r="J16" s="419"/>
      <c r="K16" s="419"/>
      <c r="L16" s="419" t="s">
        <v>26</v>
      </c>
      <c r="M16" s="419"/>
      <c r="N16" s="419"/>
      <c r="O16" s="419"/>
      <c r="P16" s="420" t="s">
        <v>27</v>
      </c>
      <c r="Q16" s="420"/>
      <c r="R16" s="420"/>
      <c r="S16" s="420"/>
      <c r="T16" s="421" t="s">
        <v>64</v>
      </c>
      <c r="U16" s="418"/>
    </row>
    <row r="17" spans="1:21" s="71" customFormat="1" ht="17.399999999999999" x14ac:dyDescent="0.25">
      <c r="A17" s="70"/>
      <c r="B17" s="415"/>
      <c r="C17" s="391"/>
      <c r="D17" s="392"/>
      <c r="E17" s="103"/>
      <c r="F17" s="392"/>
      <c r="G17" s="392"/>
      <c r="H17" s="183" t="s">
        <v>61</v>
      </c>
      <c r="I17" s="183" t="s">
        <v>65</v>
      </c>
      <c r="J17" s="192" t="s">
        <v>66</v>
      </c>
      <c r="K17" s="101" t="s">
        <v>63</v>
      </c>
      <c r="L17" s="183" t="s">
        <v>61</v>
      </c>
      <c r="M17" s="183" t="s">
        <v>65</v>
      </c>
      <c r="N17" s="192" t="s">
        <v>66</v>
      </c>
      <c r="O17" s="101" t="s">
        <v>63</v>
      </c>
      <c r="P17" s="183" t="s">
        <v>61</v>
      </c>
      <c r="Q17" s="183" t="s">
        <v>65</v>
      </c>
      <c r="R17" s="101" t="s">
        <v>66</v>
      </c>
      <c r="S17" s="101" t="s">
        <v>63</v>
      </c>
      <c r="T17" s="421"/>
      <c r="U17" s="418"/>
    </row>
    <row r="18" spans="1:21" s="181" customFormat="1" ht="20.399999999999999" x14ac:dyDescent="0.25">
      <c r="A18" s="180"/>
      <c r="B18" s="281"/>
      <c r="C18" s="424" t="s">
        <v>36</v>
      </c>
      <c r="D18" s="424"/>
      <c r="E18" s="424"/>
      <c r="F18" s="424"/>
      <c r="G18" s="424"/>
      <c r="H18" s="182"/>
      <c r="I18" s="182"/>
      <c r="J18" s="203"/>
      <c r="K18" s="182"/>
      <c r="L18" s="182"/>
      <c r="M18" s="182"/>
      <c r="N18" s="203"/>
      <c r="O18" s="182"/>
      <c r="P18" s="182"/>
      <c r="Q18" s="182"/>
      <c r="R18" s="182"/>
      <c r="S18" s="182"/>
      <c r="T18" s="182"/>
      <c r="U18" s="182"/>
    </row>
    <row r="19" spans="1:21" s="71" customFormat="1" ht="20.399999999999999" x14ac:dyDescent="0.25">
      <c r="A19" s="70"/>
      <c r="B19" s="282"/>
      <c r="C19" s="360" t="s">
        <v>182</v>
      </c>
      <c r="D19" s="360"/>
      <c r="E19" s="100"/>
      <c r="F19" s="72"/>
      <c r="G19" s="73"/>
      <c r="H19" s="184"/>
      <c r="I19" s="184"/>
      <c r="J19" s="204"/>
      <c r="K19" s="185"/>
      <c r="L19" s="184"/>
      <c r="M19" s="186"/>
      <c r="N19" s="204"/>
      <c r="O19" s="186"/>
      <c r="P19" s="186"/>
      <c r="Q19" s="186"/>
      <c r="R19" s="185"/>
      <c r="S19" s="186"/>
      <c r="T19" s="186"/>
      <c r="U19" s="283"/>
    </row>
    <row r="20" spans="1:21" ht="21" x14ac:dyDescent="0.25">
      <c r="A20" s="12"/>
      <c r="B20" s="284"/>
      <c r="C20" s="412" t="s">
        <v>68</v>
      </c>
      <c r="D20" s="412"/>
      <c r="E20" s="412"/>
      <c r="F20" s="412"/>
      <c r="G20" s="122"/>
      <c r="H20" s="155"/>
      <c r="I20" s="155"/>
      <c r="J20" s="205"/>
      <c r="K20" s="24"/>
      <c r="L20" s="155"/>
      <c r="M20" s="32"/>
      <c r="N20" s="205"/>
      <c r="O20" s="32"/>
      <c r="P20" s="32"/>
      <c r="Q20" s="32"/>
      <c r="R20" s="24"/>
      <c r="S20" s="32"/>
      <c r="T20" s="32"/>
      <c r="U20" s="285"/>
    </row>
    <row r="21" spans="1:21" ht="230.25" customHeight="1" x14ac:dyDescent="0.25">
      <c r="A21" s="390"/>
      <c r="B21" s="66" t="str">
        <f>IF(AND(F21="")," ",$D$6&amp;"_"&amp;ROW()-20-COUNTBLANK($F$21:F21))</f>
        <v>&lt;Đăng ký&gt;_1</v>
      </c>
      <c r="C21" s="408" t="s">
        <v>69</v>
      </c>
      <c r="D21" s="413" t="s">
        <v>183</v>
      </c>
      <c r="E21" s="275" t="s">
        <v>184</v>
      </c>
      <c r="F21" s="86" t="s">
        <v>185</v>
      </c>
      <c r="G21" s="57" t="s">
        <v>186</v>
      </c>
      <c r="H21" s="146" t="s">
        <v>28</v>
      </c>
      <c r="I21" s="38"/>
      <c r="J21" s="206" t="s">
        <v>74</v>
      </c>
      <c r="K21" s="38"/>
      <c r="L21" s="146" t="s">
        <v>28</v>
      </c>
      <c r="M21" s="39"/>
      <c r="N21" s="206" t="s">
        <v>75</v>
      </c>
      <c r="O21" s="39"/>
      <c r="P21" s="39"/>
      <c r="Q21" s="39"/>
      <c r="R21" s="40"/>
      <c r="S21" s="37"/>
      <c r="T21" s="37"/>
      <c r="U21" s="286"/>
    </row>
    <row r="22" spans="1:21" ht="87.75" customHeight="1" x14ac:dyDescent="0.25">
      <c r="A22" s="390"/>
      <c r="B22" s="66" t="str">
        <f>IF(AND(F22="")," ",$D$6&amp;"_"&amp;ROW()-20-COUNTBLANK($F$21:F22))</f>
        <v>&lt;Đăng ký&gt;_2</v>
      </c>
      <c r="C22" s="408"/>
      <c r="D22" s="413"/>
      <c r="E22" s="133" t="s">
        <v>187</v>
      </c>
      <c r="F22" s="85" t="s">
        <v>188</v>
      </c>
      <c r="G22" s="57" t="s">
        <v>189</v>
      </c>
      <c r="H22" s="146" t="s">
        <v>28</v>
      </c>
      <c r="I22" s="158"/>
      <c r="J22" s="206" t="s">
        <v>74</v>
      </c>
      <c r="K22" s="38"/>
      <c r="L22" s="146" t="s">
        <v>28</v>
      </c>
      <c r="M22" s="39"/>
      <c r="N22" s="206" t="s">
        <v>75</v>
      </c>
      <c r="O22" s="39"/>
      <c r="P22" s="39"/>
      <c r="Q22" s="39"/>
      <c r="R22" s="40"/>
      <c r="S22" s="37"/>
      <c r="T22" s="37"/>
      <c r="U22" s="286"/>
    </row>
    <row r="23" spans="1:21" ht="20.399999999999999" x14ac:dyDescent="0.25">
      <c r="A23" s="390"/>
      <c r="B23" s="66" t="str">
        <f>IF(AND(F23="")," ",$D$6&amp;"_"&amp;ROW()-20-COUNTBLANK($F$21:F23))</f>
        <v xml:space="preserve"> </v>
      </c>
      <c r="C23" s="409" t="s">
        <v>190</v>
      </c>
      <c r="D23" s="410"/>
      <c r="E23" s="409"/>
      <c r="F23" s="409"/>
      <c r="G23" s="123"/>
      <c r="H23" s="146"/>
      <c r="I23" s="42"/>
      <c r="J23" s="206"/>
      <c r="K23" s="40"/>
      <c r="L23" s="146"/>
      <c r="M23" s="42"/>
      <c r="N23" s="206"/>
      <c r="O23" s="43"/>
      <c r="P23" s="43"/>
      <c r="Q23" s="43"/>
      <c r="R23" s="40"/>
      <c r="S23" s="41"/>
      <c r="T23" s="42"/>
      <c r="U23" s="287"/>
    </row>
    <row r="24" spans="1:21" ht="82.8" x14ac:dyDescent="0.25">
      <c r="A24" s="12"/>
      <c r="B24" s="66" t="str">
        <f>IF(AND(F24="")," ",$D$6&amp;"_"&amp;ROW()-20-COUNTBLANK($F$21:F24))</f>
        <v>&lt;Đăng ký&gt;_3</v>
      </c>
      <c r="C24" s="372" t="s">
        <v>191</v>
      </c>
      <c r="D24" s="364" t="s">
        <v>192</v>
      </c>
      <c r="E24" s="112" t="s">
        <v>193</v>
      </c>
      <c r="F24" s="60" t="s">
        <v>194</v>
      </c>
      <c r="G24" s="88" t="s">
        <v>195</v>
      </c>
      <c r="H24" s="146" t="s">
        <v>28</v>
      </c>
      <c r="I24" s="47"/>
      <c r="J24" s="206" t="s">
        <v>74</v>
      </c>
      <c r="K24" s="46"/>
      <c r="L24" s="146" t="s">
        <v>28</v>
      </c>
      <c r="M24" s="47"/>
      <c r="N24" s="206" t="s">
        <v>75</v>
      </c>
      <c r="O24" s="48"/>
      <c r="P24" s="48"/>
      <c r="Q24" s="48"/>
      <c r="R24" s="46"/>
      <c r="S24" s="45"/>
      <c r="T24" s="47"/>
      <c r="U24" s="288"/>
    </row>
    <row r="25" spans="1:21" ht="82.8" x14ac:dyDescent="0.25">
      <c r="A25" s="12"/>
      <c r="B25" s="66" t="str">
        <f>IF(AND(F25="")," ",$D$6&amp;"_"&amp;ROW()-20-COUNTBLANK($F$21:F25))</f>
        <v>&lt;Đăng ký&gt;_4</v>
      </c>
      <c r="C25" s="372"/>
      <c r="D25" s="364"/>
      <c r="E25" s="105" t="s">
        <v>196</v>
      </c>
      <c r="F25" s="98" t="s">
        <v>197</v>
      </c>
      <c r="G25" s="113" t="s">
        <v>198</v>
      </c>
      <c r="H25" s="146" t="s">
        <v>28</v>
      </c>
      <c r="I25" s="159"/>
      <c r="J25" s="206" t="s">
        <v>74</v>
      </c>
      <c r="K25" s="79"/>
      <c r="L25" s="146" t="s">
        <v>28</v>
      </c>
      <c r="M25" s="95"/>
      <c r="N25" s="206" t="s">
        <v>75</v>
      </c>
      <c r="O25" s="48"/>
      <c r="P25" s="48"/>
      <c r="Q25" s="48"/>
      <c r="R25" s="46"/>
      <c r="S25" s="45"/>
      <c r="T25" s="47"/>
      <c r="U25" s="288"/>
    </row>
    <row r="26" spans="1:21" ht="93.75" customHeight="1" x14ac:dyDescent="0.25">
      <c r="A26" s="12"/>
      <c r="B26" s="66" t="str">
        <f>IF(AND(F25="")," ",$D$6&amp;"_"&amp;ROW()-20-COUNTBLANK($F$21:F25))</f>
        <v>&lt;Đăng ký&gt;_5</v>
      </c>
      <c r="C26" s="372"/>
      <c r="D26" s="423"/>
      <c r="E26" s="413" t="s">
        <v>199</v>
      </c>
      <c r="F26" s="94" t="s">
        <v>200</v>
      </c>
      <c r="G26" s="56" t="s">
        <v>201</v>
      </c>
      <c r="H26" s="200" t="s">
        <v>29</v>
      </c>
      <c r="I26" s="160"/>
      <c r="J26" s="206" t="s">
        <v>74</v>
      </c>
      <c r="K26" s="79" t="s">
        <v>202</v>
      </c>
      <c r="L26" s="146" t="s">
        <v>28</v>
      </c>
      <c r="M26" s="80"/>
      <c r="N26" s="206" t="s">
        <v>75</v>
      </c>
      <c r="O26" s="81"/>
      <c r="P26" s="81"/>
      <c r="Q26" s="81"/>
      <c r="R26" s="79"/>
      <c r="S26" s="78"/>
      <c r="T26" s="80"/>
      <c r="U26" s="81"/>
    </row>
    <row r="27" spans="1:21" ht="93.75" customHeight="1" x14ac:dyDescent="0.25">
      <c r="A27" s="12"/>
      <c r="B27" s="69" t="str">
        <f>IF(AND(F25="")," ",$D$6&amp;"_"&amp;ROW()-20-COUNTBLANK($F$21:F25))</f>
        <v>&lt;Đăng ký&gt;_6</v>
      </c>
      <c r="C27" s="372"/>
      <c r="D27" s="423"/>
      <c r="E27" s="413"/>
      <c r="F27" s="94" t="s">
        <v>203</v>
      </c>
      <c r="G27" s="104" t="s">
        <v>198</v>
      </c>
      <c r="H27" s="146" t="s">
        <v>28</v>
      </c>
      <c r="I27" s="160"/>
      <c r="J27" s="206" t="s">
        <v>74</v>
      </c>
      <c r="K27" s="79"/>
      <c r="L27" s="146" t="s">
        <v>28</v>
      </c>
      <c r="M27" s="80"/>
      <c r="N27" s="206" t="s">
        <v>75</v>
      </c>
      <c r="O27" s="81"/>
      <c r="P27" s="81"/>
      <c r="Q27" s="81"/>
      <c r="R27" s="79"/>
      <c r="S27" s="78"/>
      <c r="T27" s="80"/>
      <c r="U27" s="81"/>
    </row>
    <row r="28" spans="1:21" ht="93.75" customHeight="1" x14ac:dyDescent="0.25">
      <c r="A28" s="12"/>
      <c r="B28" s="66" t="str">
        <f>IF(AND(F28="")," ",$D$6&amp;"_"&amp;ROW()-20-COUNTBLANK($F$21:F28))</f>
        <v>&lt;Đăng ký&gt;_7</v>
      </c>
      <c r="C28" s="372"/>
      <c r="D28" s="364"/>
      <c r="E28" s="111" t="s">
        <v>204</v>
      </c>
      <c r="F28" s="94" t="s">
        <v>205</v>
      </c>
      <c r="G28" s="104" t="s">
        <v>206</v>
      </c>
      <c r="H28" s="200" t="s">
        <v>29</v>
      </c>
      <c r="I28" s="160"/>
      <c r="J28" s="206" t="s">
        <v>74</v>
      </c>
      <c r="K28" s="79" t="s">
        <v>207</v>
      </c>
      <c r="L28" s="146" t="s">
        <v>28</v>
      </c>
      <c r="M28" s="80"/>
      <c r="N28" s="206" t="s">
        <v>75</v>
      </c>
      <c r="O28" s="81"/>
      <c r="P28" s="81"/>
      <c r="Q28" s="81"/>
      <c r="R28" s="79"/>
      <c r="S28" s="78"/>
      <c r="T28" s="80"/>
      <c r="U28" s="81"/>
    </row>
    <row r="29" spans="1:21" ht="100.5" customHeight="1" x14ac:dyDescent="0.25">
      <c r="A29" s="12"/>
      <c r="B29" s="66" t="str">
        <f>IF(AND(F28="")," ",$D$6&amp;"_"&amp;ROW()-20-COUNTBLANK($F$21:F28))</f>
        <v>&lt;Đăng ký&gt;_8</v>
      </c>
      <c r="C29" s="372"/>
      <c r="D29" s="364"/>
      <c r="E29" s="111" t="s">
        <v>208</v>
      </c>
      <c r="F29" s="94" t="s">
        <v>209</v>
      </c>
      <c r="G29" s="56" t="s">
        <v>210</v>
      </c>
      <c r="H29" s="200" t="s">
        <v>29</v>
      </c>
      <c r="I29" s="160"/>
      <c r="J29" s="206" t="s">
        <v>74</v>
      </c>
      <c r="K29" s="79" t="s">
        <v>211</v>
      </c>
      <c r="L29" s="146" t="s">
        <v>28</v>
      </c>
      <c r="M29" s="80"/>
      <c r="N29" s="206" t="s">
        <v>75</v>
      </c>
      <c r="O29" s="81"/>
      <c r="P29" s="81"/>
      <c r="Q29" s="81"/>
      <c r="R29" s="79"/>
      <c r="S29" s="78"/>
      <c r="T29" s="80"/>
      <c r="U29" s="81"/>
    </row>
    <row r="30" spans="1:21" ht="100.5" customHeight="1" x14ac:dyDescent="0.25">
      <c r="A30" s="12"/>
      <c r="B30" s="66" t="str">
        <f>IF(AND(F28="")," ",$D$6&amp;"_"&amp;ROW()-20-COUNTBLANK($F$21:F28))</f>
        <v>&lt;Đăng ký&gt;_9</v>
      </c>
      <c r="C30" s="426" t="s">
        <v>89</v>
      </c>
      <c r="D30" s="86" t="s">
        <v>212</v>
      </c>
      <c r="E30" s="110" t="s">
        <v>213</v>
      </c>
      <c r="F30" s="94" t="s">
        <v>214</v>
      </c>
      <c r="G30" s="56" t="s">
        <v>215</v>
      </c>
      <c r="H30" s="146" t="s">
        <v>28</v>
      </c>
      <c r="I30" s="160"/>
      <c r="J30" s="206" t="s">
        <v>74</v>
      </c>
      <c r="K30" s="79"/>
      <c r="L30" s="146" t="s">
        <v>28</v>
      </c>
      <c r="M30" s="80"/>
      <c r="N30" s="206" t="s">
        <v>75</v>
      </c>
      <c r="O30" s="81"/>
      <c r="P30" s="81"/>
      <c r="Q30" s="81"/>
      <c r="R30" s="79"/>
      <c r="S30" s="78"/>
      <c r="T30" s="80"/>
      <c r="U30" s="81"/>
    </row>
    <row r="31" spans="1:21" ht="100.5" customHeight="1" x14ac:dyDescent="0.25">
      <c r="A31" s="12"/>
      <c r="B31" s="66" t="e">
        <f>IF(AND(#REF!="")," ",$D$6&amp;"_"&amp;ROW()-20-COUNTBLANK($F$21:F28))</f>
        <v>#REF!</v>
      </c>
      <c r="C31" s="372"/>
      <c r="D31" s="365" t="s">
        <v>216</v>
      </c>
      <c r="E31" s="364" t="s">
        <v>217</v>
      </c>
      <c r="F31" s="94" t="s">
        <v>218</v>
      </c>
      <c r="G31" s="56" t="s">
        <v>219</v>
      </c>
      <c r="H31" s="200" t="s">
        <v>29</v>
      </c>
      <c r="I31" s="160"/>
      <c r="J31" s="206" t="s">
        <v>74</v>
      </c>
      <c r="K31" s="79" t="s">
        <v>220</v>
      </c>
      <c r="L31" s="146" t="s">
        <v>28</v>
      </c>
      <c r="M31" s="80"/>
      <c r="N31" s="206" t="s">
        <v>75</v>
      </c>
      <c r="O31" s="81"/>
      <c r="P31" s="81"/>
      <c r="Q31" s="81"/>
      <c r="R31" s="79"/>
      <c r="S31" s="78"/>
      <c r="T31" s="80"/>
      <c r="U31" s="81"/>
    </row>
    <row r="32" spans="1:21" ht="90" customHeight="1" x14ac:dyDescent="0.25">
      <c r="A32" s="12"/>
      <c r="B32" s="66" t="str">
        <f>IF(AND(F29="")," ",$D$6&amp;"_"&amp;ROW()-20-COUNTBLANK($F$21:F29))</f>
        <v>&lt;Đăng ký&gt;_11</v>
      </c>
      <c r="C32" s="372"/>
      <c r="D32" s="364"/>
      <c r="E32" s="364"/>
      <c r="F32" s="94" t="s">
        <v>221</v>
      </c>
      <c r="G32" s="104" t="s">
        <v>198</v>
      </c>
      <c r="H32" s="146" t="s">
        <v>28</v>
      </c>
      <c r="I32" s="160"/>
      <c r="J32" s="206" t="s">
        <v>74</v>
      </c>
      <c r="K32" s="79"/>
      <c r="L32" s="146" t="s">
        <v>28</v>
      </c>
      <c r="M32" s="80"/>
      <c r="N32" s="206" t="s">
        <v>75</v>
      </c>
      <c r="O32" s="81"/>
      <c r="P32" s="81"/>
      <c r="Q32" s="81"/>
      <c r="R32" s="79"/>
      <c r="S32" s="78"/>
      <c r="T32" s="80"/>
      <c r="U32" s="81"/>
    </row>
    <row r="33" spans="1:21" ht="100.5" customHeight="1" x14ac:dyDescent="0.25">
      <c r="A33" s="12"/>
      <c r="B33" s="66" t="str">
        <f>IF(AND(F30="")," ",$D$6&amp;"_"&amp;ROW()-20-COUNTBLANK($F$21:F30))</f>
        <v>&lt;Đăng ký&gt;_12</v>
      </c>
      <c r="C33" s="372"/>
      <c r="D33" s="364"/>
      <c r="E33" s="364" t="s">
        <v>125</v>
      </c>
      <c r="F33" s="94" t="s">
        <v>222</v>
      </c>
      <c r="G33" s="430" t="s">
        <v>223</v>
      </c>
      <c r="H33" s="146" t="s">
        <v>28</v>
      </c>
      <c r="I33" s="160"/>
      <c r="J33" s="206" t="s">
        <v>74</v>
      </c>
      <c r="K33" s="79"/>
      <c r="L33" s="146" t="s">
        <v>28</v>
      </c>
      <c r="M33" s="80"/>
      <c r="N33" s="206" t="s">
        <v>75</v>
      </c>
      <c r="O33" s="81"/>
      <c r="P33" s="81"/>
      <c r="Q33" s="81"/>
      <c r="R33" s="79"/>
      <c r="S33" s="78"/>
      <c r="T33" s="80"/>
      <c r="U33" s="81"/>
    </row>
    <row r="34" spans="1:21" ht="100.5" customHeight="1" x14ac:dyDescent="0.25">
      <c r="A34" s="12"/>
      <c r="B34" s="66" t="str">
        <f>IF(AND(F31="")," ",$D$6&amp;"_"&amp;ROW()-20-COUNTBLANK($F$21:F31))</f>
        <v>&lt;Đăng ký&gt;_13</v>
      </c>
      <c r="C34" s="372"/>
      <c r="D34" s="364"/>
      <c r="E34" s="364"/>
      <c r="F34" s="94" t="s">
        <v>224</v>
      </c>
      <c r="G34" s="430"/>
      <c r="H34" s="146" t="s">
        <v>28</v>
      </c>
      <c r="I34" s="160"/>
      <c r="J34" s="206" t="s">
        <v>74</v>
      </c>
      <c r="K34" s="79"/>
      <c r="L34" s="146" t="s">
        <v>28</v>
      </c>
      <c r="M34" s="80"/>
      <c r="N34" s="206" t="s">
        <v>75</v>
      </c>
      <c r="O34" s="81"/>
      <c r="P34" s="81"/>
      <c r="Q34" s="81"/>
      <c r="R34" s="79"/>
      <c r="S34" s="78"/>
      <c r="T34" s="80"/>
      <c r="U34" s="81"/>
    </row>
    <row r="35" spans="1:21" ht="100.5" customHeight="1" x14ac:dyDescent="0.25">
      <c r="A35" s="12"/>
      <c r="B35" s="66" t="str">
        <f>IF(AND(F32="")," ",$D$6&amp;"_"&amp;ROW()-20-COUNTBLANK($F$21:F32))</f>
        <v>&lt;Đăng ký&gt;_14</v>
      </c>
      <c r="C35" s="372"/>
      <c r="D35" s="364"/>
      <c r="E35" s="364"/>
      <c r="F35" s="94" t="s">
        <v>225</v>
      </c>
      <c r="G35" s="430"/>
      <c r="H35" s="146" t="s">
        <v>28</v>
      </c>
      <c r="I35" s="160"/>
      <c r="J35" s="206" t="s">
        <v>74</v>
      </c>
      <c r="K35" s="79"/>
      <c r="L35" s="146" t="s">
        <v>28</v>
      </c>
      <c r="M35" s="80"/>
      <c r="N35" s="206" t="s">
        <v>75</v>
      </c>
      <c r="O35" s="81"/>
      <c r="P35" s="81"/>
      <c r="Q35" s="81"/>
      <c r="R35" s="79"/>
      <c r="S35" s="78"/>
      <c r="T35" s="80"/>
      <c r="U35" s="81"/>
    </row>
    <row r="36" spans="1:21" ht="100.5" customHeight="1" x14ac:dyDescent="0.25">
      <c r="A36" s="12"/>
      <c r="B36" s="66" t="str">
        <f>IF(AND(F33="")," ",$D$6&amp;"_"&amp;ROW()-20-COUNTBLANK($F$21:F33))</f>
        <v>&lt;Đăng ký&gt;_15</v>
      </c>
      <c r="C36" s="372"/>
      <c r="D36" s="364"/>
      <c r="E36" s="364"/>
      <c r="F36" s="94" t="s">
        <v>226</v>
      </c>
      <c r="G36" s="430"/>
      <c r="H36" s="200" t="s">
        <v>29</v>
      </c>
      <c r="I36" s="160"/>
      <c r="J36" s="206" t="s">
        <v>74</v>
      </c>
      <c r="K36" s="79" t="s">
        <v>227</v>
      </c>
      <c r="L36" s="146" t="s">
        <v>28</v>
      </c>
      <c r="M36" s="80"/>
      <c r="N36" s="206" t="s">
        <v>75</v>
      </c>
      <c r="O36" s="81"/>
      <c r="P36" s="81"/>
      <c r="Q36" s="81"/>
      <c r="R36" s="79"/>
      <c r="S36" s="78"/>
      <c r="T36" s="80"/>
      <c r="U36" s="81"/>
    </row>
    <row r="37" spans="1:21" ht="100.5" customHeight="1" x14ac:dyDescent="0.25">
      <c r="A37" s="12"/>
      <c r="B37" s="66" t="str">
        <f>IF(AND(F34="")," ",$D$6&amp;"_"&amp;ROW()-20-COUNTBLANK($F$21:F34))</f>
        <v>&lt;Đăng ký&gt;_16</v>
      </c>
      <c r="C37" s="372"/>
      <c r="D37" s="364"/>
      <c r="E37" s="111" t="s">
        <v>228</v>
      </c>
      <c r="F37" s="94" t="s">
        <v>229</v>
      </c>
      <c r="G37" s="104" t="s">
        <v>230</v>
      </c>
      <c r="H37" s="146" t="s">
        <v>28</v>
      </c>
      <c r="I37" s="160"/>
      <c r="J37" s="206" t="s">
        <v>74</v>
      </c>
      <c r="K37" s="79"/>
      <c r="L37" s="146" t="s">
        <v>28</v>
      </c>
      <c r="M37" s="80"/>
      <c r="N37" s="206" t="s">
        <v>75</v>
      </c>
      <c r="O37" s="81"/>
      <c r="P37" s="81"/>
      <c r="Q37" s="81"/>
      <c r="R37" s="79"/>
      <c r="S37" s="78"/>
      <c r="T37" s="80"/>
      <c r="U37" s="81"/>
    </row>
    <row r="38" spans="1:21" ht="100.5" customHeight="1" x14ac:dyDescent="0.25">
      <c r="A38" s="12"/>
      <c r="B38" s="66" t="str">
        <f>IF(AND(F35="")," ",$D$6&amp;"_"&amp;ROW()-20-COUNTBLANK($F$21:F35))</f>
        <v>&lt;Đăng ký&gt;_17</v>
      </c>
      <c r="C38" s="372"/>
      <c r="D38" s="86" t="s">
        <v>231</v>
      </c>
      <c r="E38" s="110" t="s">
        <v>232</v>
      </c>
      <c r="F38" s="94" t="s">
        <v>233</v>
      </c>
      <c r="G38" s="56" t="s">
        <v>234</v>
      </c>
      <c r="H38" s="146" t="s">
        <v>28</v>
      </c>
      <c r="J38" s="206" t="s">
        <v>74</v>
      </c>
      <c r="K38" s="79"/>
      <c r="L38" s="146" t="s">
        <v>28</v>
      </c>
      <c r="M38" s="80"/>
      <c r="N38" s="206" t="s">
        <v>75</v>
      </c>
      <c r="O38" s="81"/>
      <c r="P38" s="81"/>
      <c r="Q38" s="81"/>
      <c r="R38" s="79"/>
      <c r="S38" s="78"/>
      <c r="T38" s="80"/>
      <c r="U38" s="81"/>
    </row>
    <row r="39" spans="1:21" ht="100.5" customHeight="1" x14ac:dyDescent="0.25">
      <c r="A39" s="12"/>
      <c r="B39" s="66" t="str">
        <f>IF(AND(F36="")," ",$D$6&amp;"_"&amp;ROW()-20-COUNTBLANK($F$21:F36))</f>
        <v>&lt;Đăng ký&gt;_18</v>
      </c>
      <c r="C39" s="372"/>
      <c r="D39" s="427" t="s">
        <v>235</v>
      </c>
      <c r="E39" s="126" t="s">
        <v>236</v>
      </c>
      <c r="F39" s="116" t="s">
        <v>237</v>
      </c>
      <c r="G39" s="56" t="s">
        <v>238</v>
      </c>
      <c r="H39" s="200" t="s">
        <v>29</v>
      </c>
      <c r="I39" s="160"/>
      <c r="J39" s="206" t="s">
        <v>74</v>
      </c>
      <c r="K39" s="79" t="s">
        <v>239</v>
      </c>
      <c r="L39" s="146" t="s">
        <v>28</v>
      </c>
      <c r="M39" s="80"/>
      <c r="N39" s="206" t="s">
        <v>75</v>
      </c>
      <c r="O39" s="81"/>
      <c r="P39" s="81"/>
      <c r="Q39" s="81"/>
      <c r="R39" s="79"/>
      <c r="S39" s="78"/>
      <c r="T39" s="80"/>
      <c r="U39" s="81"/>
    </row>
    <row r="40" spans="1:21" ht="118.05" customHeight="1" x14ac:dyDescent="0.25">
      <c r="A40" s="12"/>
      <c r="B40" s="66" t="str">
        <f>IF(AND(F37="")," ",$D$6&amp;"_"&amp;ROW()-20-COUNTBLANK($F$21:F37))</f>
        <v>&lt;Đăng ký&gt;_19</v>
      </c>
      <c r="C40" s="372"/>
      <c r="D40" s="427"/>
      <c r="E40" s="308" t="s">
        <v>240</v>
      </c>
      <c r="F40" s="116" t="s">
        <v>241</v>
      </c>
      <c r="G40" s="56" t="s">
        <v>242</v>
      </c>
      <c r="H40" s="200" t="s">
        <v>29</v>
      </c>
      <c r="I40" s="108"/>
      <c r="J40" s="206" t="s">
        <v>74</v>
      </c>
      <c r="K40" s="79" t="s">
        <v>243</v>
      </c>
      <c r="L40" s="146" t="s">
        <v>28</v>
      </c>
      <c r="M40" s="80"/>
      <c r="N40" s="206" t="s">
        <v>75</v>
      </c>
      <c r="O40" s="81"/>
      <c r="P40" s="81"/>
      <c r="Q40" s="81"/>
      <c r="R40" s="79"/>
      <c r="S40" s="78"/>
      <c r="T40" s="80"/>
      <c r="U40" s="81"/>
    </row>
    <row r="41" spans="1:21" ht="93" customHeight="1" x14ac:dyDescent="0.25">
      <c r="A41" s="12"/>
      <c r="B41" s="66" t="str">
        <f>IF(AND(F41="")," ",$D$6&amp;"_"&amp;ROW()-20-COUNTBLANK($F$21:F41))</f>
        <v>&lt;Đăng ký&gt;_20</v>
      </c>
      <c r="C41" s="423" t="s">
        <v>96</v>
      </c>
      <c r="D41" s="364" t="s">
        <v>192</v>
      </c>
      <c r="E41" s="111" t="s">
        <v>244</v>
      </c>
      <c r="F41" s="118" t="s">
        <v>245</v>
      </c>
      <c r="G41" s="56" t="s">
        <v>246</v>
      </c>
      <c r="H41" s="146" t="s">
        <v>28</v>
      </c>
      <c r="I41" s="161"/>
      <c r="J41" s="206" t="s">
        <v>74</v>
      </c>
      <c r="K41" s="50"/>
      <c r="L41" s="146" t="s">
        <v>28</v>
      </c>
      <c r="M41" s="142"/>
      <c r="N41" s="206" t="s">
        <v>75</v>
      </c>
      <c r="O41" s="74"/>
      <c r="P41" s="74"/>
      <c r="Q41" s="74"/>
      <c r="R41" s="75"/>
      <c r="S41" s="76"/>
      <c r="T41" s="77"/>
      <c r="U41" s="74"/>
    </row>
    <row r="42" spans="1:21" ht="93" customHeight="1" x14ac:dyDescent="0.25">
      <c r="A42" s="12"/>
      <c r="B42" s="68" t="str">
        <f>IF(AND(F42="")," ",$D$6&amp;"_"&amp;ROW()-20-COUNTBLANK($F$21:F42))</f>
        <v>&lt;Đăng ký&gt;_21</v>
      </c>
      <c r="C42" s="423"/>
      <c r="D42" s="364"/>
      <c r="E42" s="117" t="s">
        <v>247</v>
      </c>
      <c r="F42" s="119" t="s">
        <v>248</v>
      </c>
      <c r="G42" s="58" t="s">
        <v>249</v>
      </c>
      <c r="H42" s="146" t="s">
        <v>28</v>
      </c>
      <c r="I42" s="161"/>
      <c r="J42" s="206" t="s">
        <v>74</v>
      </c>
      <c r="K42" s="79"/>
      <c r="L42" s="146" t="s">
        <v>28</v>
      </c>
      <c r="M42" s="96"/>
      <c r="N42" s="206" t="s">
        <v>75</v>
      </c>
      <c r="O42" s="53"/>
      <c r="P42" s="53"/>
      <c r="Q42" s="53"/>
      <c r="R42" s="51"/>
      <c r="S42" s="50"/>
      <c r="T42" s="52"/>
      <c r="U42" s="53"/>
    </row>
    <row r="43" spans="1:21" ht="101.1" customHeight="1" x14ac:dyDescent="0.25">
      <c r="A43" s="12"/>
      <c r="B43" s="68" t="str">
        <f>IF(AND(F43="")," ",$D$6&amp;"_"&amp;ROW()-20-COUNTBLANK($F$21:F43))</f>
        <v>&lt;Đăng ký&gt;_22</v>
      </c>
      <c r="C43" s="423"/>
      <c r="D43" s="364"/>
      <c r="E43" s="431" t="s">
        <v>250</v>
      </c>
      <c r="F43" s="55" t="s">
        <v>251</v>
      </c>
      <c r="G43" s="58" t="s">
        <v>252</v>
      </c>
      <c r="H43" s="200" t="s">
        <v>29</v>
      </c>
      <c r="I43" s="161"/>
      <c r="J43" s="206" t="s">
        <v>74</v>
      </c>
      <c r="K43" s="79" t="s">
        <v>253</v>
      </c>
      <c r="L43" s="146" t="s">
        <v>28</v>
      </c>
      <c r="M43" s="96"/>
      <c r="N43" s="206" t="s">
        <v>75</v>
      </c>
      <c r="O43" s="53"/>
      <c r="P43" s="53"/>
      <c r="Q43" s="53"/>
      <c r="R43" s="51"/>
      <c r="S43" s="50"/>
      <c r="T43" s="52"/>
      <c r="U43" s="53"/>
    </row>
    <row r="44" spans="1:21" ht="93" customHeight="1" x14ac:dyDescent="0.25">
      <c r="A44" s="12"/>
      <c r="B44" s="68" t="str">
        <f>IF(AND(F44="")," ",$D$6&amp;"_"&amp;ROW()-20-COUNTBLANK($F$21:F44))</f>
        <v>&lt;Đăng ký&gt;_23</v>
      </c>
      <c r="C44" s="423"/>
      <c r="D44" s="364"/>
      <c r="E44" s="431"/>
      <c r="F44" s="55" t="s">
        <v>254</v>
      </c>
      <c r="G44" s="56" t="s">
        <v>255</v>
      </c>
      <c r="H44" s="146" t="s">
        <v>28</v>
      </c>
      <c r="I44" s="161"/>
      <c r="J44" s="206" t="s">
        <v>74</v>
      </c>
      <c r="K44" s="79"/>
      <c r="L44" s="146" t="s">
        <v>28</v>
      </c>
      <c r="M44" s="96"/>
      <c r="N44" s="206" t="s">
        <v>75</v>
      </c>
      <c r="O44" s="53"/>
      <c r="P44" s="53"/>
      <c r="Q44" s="53"/>
      <c r="R44" s="51"/>
      <c r="S44" s="50"/>
      <c r="T44" s="52"/>
      <c r="U44" s="53"/>
    </row>
    <row r="45" spans="1:21" ht="93" customHeight="1" x14ac:dyDescent="0.25">
      <c r="A45" s="12"/>
      <c r="B45" s="68" t="str">
        <f>IF(AND(F45="")," ",$D$6&amp;"_"&amp;ROW()-20-COUNTBLANK($F$21:F45))</f>
        <v>&lt;Đăng ký&gt;_24</v>
      </c>
      <c r="C45" s="423"/>
      <c r="D45" s="364"/>
      <c r="E45" s="112" t="s">
        <v>256</v>
      </c>
      <c r="F45" s="55" t="s">
        <v>257</v>
      </c>
      <c r="G45" s="58" t="s">
        <v>258</v>
      </c>
      <c r="H45" s="200" t="s">
        <v>29</v>
      </c>
      <c r="I45" s="161"/>
      <c r="J45" s="206" t="s">
        <v>74</v>
      </c>
      <c r="K45" s="79" t="s">
        <v>259</v>
      </c>
      <c r="L45" s="146" t="s">
        <v>28</v>
      </c>
      <c r="M45" s="96"/>
      <c r="N45" s="206" t="s">
        <v>75</v>
      </c>
      <c r="O45" s="53"/>
      <c r="P45" s="53"/>
      <c r="Q45" s="53"/>
      <c r="R45" s="51"/>
      <c r="S45" s="50"/>
      <c r="T45" s="52"/>
      <c r="U45" s="53"/>
    </row>
    <row r="46" spans="1:21" ht="93" customHeight="1" x14ac:dyDescent="0.25">
      <c r="A46" s="12"/>
      <c r="B46" s="68" t="str">
        <f>IF(AND(F46="")," ",$D$6&amp;"_"&amp;ROW()-20-COUNTBLANK($F$21:F46))</f>
        <v>&lt;Đăng ký&gt;_25</v>
      </c>
      <c r="C46" s="423" t="s">
        <v>260</v>
      </c>
      <c r="D46" s="364" t="s">
        <v>192</v>
      </c>
      <c r="E46" s="112" t="s">
        <v>261</v>
      </c>
      <c r="F46" s="118" t="s">
        <v>262</v>
      </c>
      <c r="G46" s="56" t="s">
        <v>246</v>
      </c>
      <c r="H46" s="146" t="s">
        <v>28</v>
      </c>
      <c r="I46" s="161"/>
      <c r="J46" s="206" t="s">
        <v>74</v>
      </c>
      <c r="K46" s="79"/>
      <c r="L46" s="146" t="s">
        <v>28</v>
      </c>
      <c r="M46" s="96"/>
      <c r="N46" s="206" t="s">
        <v>75</v>
      </c>
      <c r="O46" s="53"/>
      <c r="P46" s="53"/>
      <c r="Q46" s="53"/>
      <c r="R46" s="51"/>
      <c r="S46" s="50"/>
      <c r="T46" s="52"/>
      <c r="U46" s="53"/>
    </row>
    <row r="47" spans="1:21" ht="107.25" customHeight="1" x14ac:dyDescent="0.25">
      <c r="A47" s="12"/>
      <c r="B47" s="68" t="str">
        <f>IF(AND(F47="")," ",$D$6&amp;"_"&amp;ROW()-20-COUNTBLANK($F$21:F47))</f>
        <v>&lt;Đăng ký&gt;_26</v>
      </c>
      <c r="C47" s="423"/>
      <c r="D47" s="364"/>
      <c r="E47" s="117" t="s">
        <v>263</v>
      </c>
      <c r="F47" s="119" t="s">
        <v>264</v>
      </c>
      <c r="G47" s="58" t="s">
        <v>249</v>
      </c>
      <c r="H47" s="146" t="s">
        <v>28</v>
      </c>
      <c r="I47" s="161"/>
      <c r="J47" s="206" t="s">
        <v>74</v>
      </c>
      <c r="K47" s="79"/>
      <c r="L47" s="146" t="s">
        <v>28</v>
      </c>
      <c r="M47" s="96"/>
      <c r="N47" s="206" t="s">
        <v>75</v>
      </c>
      <c r="O47" s="53"/>
      <c r="P47" s="53"/>
      <c r="Q47" s="53"/>
      <c r="R47" s="51"/>
      <c r="S47" s="50"/>
      <c r="T47" s="52"/>
      <c r="U47" s="53"/>
    </row>
    <row r="48" spans="1:21" ht="108.75" customHeight="1" x14ac:dyDescent="0.25">
      <c r="A48" s="12"/>
      <c r="B48" s="68" t="str">
        <f>IF(AND(F48="")," ",$D$6&amp;"_"&amp;ROW()-20-COUNTBLANK($F$21:F48))</f>
        <v>&lt;Đăng ký&gt;_27</v>
      </c>
      <c r="C48" s="423"/>
      <c r="D48" s="364"/>
      <c r="E48" s="112" t="s">
        <v>265</v>
      </c>
      <c r="F48" s="60" t="s">
        <v>266</v>
      </c>
      <c r="G48" s="58" t="s">
        <v>267</v>
      </c>
      <c r="H48" s="146" t="s">
        <v>28</v>
      </c>
      <c r="I48" s="161"/>
      <c r="J48" s="206" t="s">
        <v>74</v>
      </c>
      <c r="K48" s="79"/>
      <c r="L48" s="146" t="s">
        <v>28</v>
      </c>
      <c r="M48" s="96"/>
      <c r="N48" s="206" t="s">
        <v>75</v>
      </c>
      <c r="O48" s="53"/>
      <c r="P48" s="53"/>
      <c r="Q48" s="53"/>
      <c r="R48" s="51"/>
      <c r="S48" s="50"/>
      <c r="T48" s="52"/>
      <c r="U48" s="53"/>
    </row>
    <row r="49" spans="1:21" ht="116.55" customHeight="1" x14ac:dyDescent="0.25">
      <c r="A49" s="12"/>
      <c r="B49" s="68" t="str">
        <f>IF(AND(F49="")," ",$D$6&amp;"_"&amp;ROW()-20-COUNTBLANK($F$21:F49))</f>
        <v>&lt;Đăng ký&gt;_28</v>
      </c>
      <c r="C49" s="408"/>
      <c r="D49" s="413"/>
      <c r="E49" s="112" t="s">
        <v>268</v>
      </c>
      <c r="F49" s="60" t="s">
        <v>269</v>
      </c>
      <c r="G49" s="56" t="s">
        <v>255</v>
      </c>
      <c r="H49" s="200" t="s">
        <v>29</v>
      </c>
      <c r="I49" s="161"/>
      <c r="J49" s="206" t="s">
        <v>74</v>
      </c>
      <c r="K49" s="79"/>
      <c r="L49" s="146" t="s">
        <v>28</v>
      </c>
      <c r="M49" s="96"/>
      <c r="N49" s="206" t="s">
        <v>75</v>
      </c>
      <c r="O49" s="53"/>
      <c r="P49" s="53"/>
      <c r="Q49" s="53"/>
      <c r="R49" s="51"/>
      <c r="S49" s="50"/>
      <c r="T49" s="52"/>
      <c r="U49" s="53"/>
    </row>
    <row r="50" spans="1:21" ht="20.25" customHeight="1" x14ac:dyDescent="0.25">
      <c r="B50" s="69" t="str">
        <f>IF(AND(F50="")," ",$D$6&amp;"_"&amp;ROW()-20-COUNTBLANK($F$21:F52))</f>
        <v xml:space="preserve"> </v>
      </c>
      <c r="C50" s="428" t="s">
        <v>270</v>
      </c>
      <c r="D50" s="429"/>
      <c r="E50" s="429"/>
      <c r="F50" s="429"/>
      <c r="G50" s="429"/>
      <c r="H50" s="289"/>
      <c r="I50" s="290"/>
      <c r="J50" s="178"/>
      <c r="K50" s="291"/>
      <c r="L50" s="289"/>
      <c r="M50" s="292"/>
      <c r="N50" s="206"/>
      <c r="O50" s="292"/>
      <c r="P50" s="292"/>
      <c r="Q50" s="292"/>
      <c r="R50" s="291"/>
      <c r="S50" s="292"/>
      <c r="T50" s="292"/>
      <c r="U50" s="292"/>
    </row>
    <row r="51" spans="1:21" ht="62.55" customHeight="1" x14ac:dyDescent="0.25">
      <c r="A51" s="12"/>
      <c r="B51" s="69" t="str">
        <f>IF(AND(F51="")," ",$D$6&amp;"_"&amp;ROW()-20-COUNTBLANK($F$21:F51))</f>
        <v>&lt;Đăng ký&gt;_29</v>
      </c>
      <c r="C51" s="413" t="s">
        <v>271</v>
      </c>
      <c r="D51" s="413" t="s">
        <v>272</v>
      </c>
      <c r="E51" s="85" t="s">
        <v>273</v>
      </c>
      <c r="F51" s="55" t="s">
        <v>274</v>
      </c>
      <c r="G51" s="54" t="s">
        <v>275</v>
      </c>
      <c r="H51" s="146" t="s">
        <v>28</v>
      </c>
      <c r="I51" s="80"/>
      <c r="J51" s="178" t="s">
        <v>74</v>
      </c>
      <c r="K51" s="79"/>
      <c r="L51" s="146" t="s">
        <v>28</v>
      </c>
      <c r="M51" s="80"/>
      <c r="N51" s="206" t="s">
        <v>75</v>
      </c>
      <c r="O51" s="81"/>
      <c r="P51" s="81"/>
      <c r="Q51" s="81"/>
      <c r="R51" s="79"/>
      <c r="S51" s="78"/>
      <c r="T51" s="80"/>
      <c r="U51" s="81"/>
    </row>
    <row r="52" spans="1:21" ht="62.55" customHeight="1" x14ac:dyDescent="0.25">
      <c r="A52" s="12"/>
      <c r="B52" s="69" t="str">
        <f>IF(AND(F52="")," ",$D$6&amp;"_"&amp;ROW()-20-COUNTBLANK($F$21:F52))</f>
        <v>&lt;Đăng ký&gt;_30</v>
      </c>
      <c r="C52" s="413"/>
      <c r="D52" s="413"/>
      <c r="E52" s="85" t="s">
        <v>276</v>
      </c>
      <c r="F52" s="55" t="s">
        <v>277</v>
      </c>
      <c r="G52" s="54" t="s">
        <v>278</v>
      </c>
      <c r="H52" s="146" t="s">
        <v>28</v>
      </c>
      <c r="I52" s="80"/>
      <c r="J52" s="178" t="s">
        <v>74</v>
      </c>
      <c r="K52" s="79"/>
      <c r="L52" s="146" t="s">
        <v>28</v>
      </c>
      <c r="M52" s="80"/>
      <c r="N52" s="206" t="s">
        <v>75</v>
      </c>
      <c r="O52" s="81"/>
      <c r="P52" s="81"/>
      <c r="Q52" s="81"/>
      <c r="R52" s="79"/>
      <c r="S52" s="78"/>
      <c r="T52" s="80"/>
      <c r="U52" s="81"/>
    </row>
    <row r="53" spans="1:21" ht="81" customHeight="1" x14ac:dyDescent="0.25">
      <c r="A53" s="12"/>
      <c r="B53" s="69" t="str">
        <f>IF(AND(F53="")," ",$D$6&amp;"_"&amp;ROW()-20-COUNTBLANK($F$21:F53))</f>
        <v>&lt;Đăng ký&gt;_31</v>
      </c>
      <c r="C53" s="86" t="s">
        <v>36</v>
      </c>
      <c r="D53" s="86"/>
      <c r="E53" s="85" t="s">
        <v>279</v>
      </c>
      <c r="F53" s="55" t="s">
        <v>280</v>
      </c>
      <c r="G53" s="54" t="s">
        <v>281</v>
      </c>
      <c r="H53" s="200" t="s">
        <v>30</v>
      </c>
      <c r="I53" s="80"/>
      <c r="J53" s="178" t="s">
        <v>74</v>
      </c>
      <c r="K53" s="79"/>
      <c r="L53" s="200" t="s">
        <v>30</v>
      </c>
      <c r="M53" s="80"/>
      <c r="N53" s="206" t="s">
        <v>75</v>
      </c>
      <c r="O53" s="81"/>
      <c r="P53" s="81"/>
      <c r="Q53" s="81"/>
      <c r="R53" s="79"/>
      <c r="S53" s="78"/>
      <c r="T53" s="80"/>
      <c r="U53" s="81"/>
    </row>
    <row r="54" spans="1:21" ht="62.55" customHeight="1" x14ac:dyDescent="0.25">
      <c r="A54" s="12"/>
      <c r="B54" s="136" t="str">
        <f>IF(AND(F54="")," ",$D$6&amp;"_"&amp;ROW()-20-COUNTBLANK($F$21:F54))</f>
        <v xml:space="preserve"> </v>
      </c>
      <c r="C54" s="117"/>
      <c r="D54" s="117"/>
      <c r="E54" s="137"/>
      <c r="F54" s="93"/>
      <c r="G54" s="135"/>
      <c r="H54" s="157"/>
      <c r="I54" s="108"/>
      <c r="J54" s="208"/>
      <c r="K54" s="107"/>
      <c r="L54" s="157"/>
      <c r="M54" s="108"/>
      <c r="N54" s="208"/>
      <c r="O54" s="109"/>
      <c r="P54" s="109"/>
      <c r="Q54" s="109"/>
      <c r="R54" s="107"/>
      <c r="S54" s="106"/>
      <c r="T54" s="108"/>
      <c r="U54" s="109"/>
    </row>
  </sheetData>
  <mergeCells count="39">
    <mergeCell ref="C51:C52"/>
    <mergeCell ref="D51:D52"/>
    <mergeCell ref="C50:G50"/>
    <mergeCell ref="G33:G36"/>
    <mergeCell ref="E43:E44"/>
    <mergeCell ref="C41:C45"/>
    <mergeCell ref="D41:D45"/>
    <mergeCell ref="C46:C49"/>
    <mergeCell ref="D46:D49"/>
    <mergeCell ref="E31:E32"/>
    <mergeCell ref="C30:C40"/>
    <mergeCell ref="E33:E36"/>
    <mergeCell ref="D39:D40"/>
    <mergeCell ref="D31:D37"/>
    <mergeCell ref="D5:F5"/>
    <mergeCell ref="D6:F6"/>
    <mergeCell ref="D7:F7"/>
    <mergeCell ref="E26:E27"/>
    <mergeCell ref="C24:C29"/>
    <mergeCell ref="D24:D29"/>
    <mergeCell ref="F15:F17"/>
    <mergeCell ref="C18:G18"/>
    <mergeCell ref="G15:G17"/>
    <mergeCell ref="D14:F14"/>
    <mergeCell ref="U15:U17"/>
    <mergeCell ref="H16:K16"/>
    <mergeCell ref="L16:O16"/>
    <mergeCell ref="P16:S16"/>
    <mergeCell ref="T16:T17"/>
    <mergeCell ref="A21:A23"/>
    <mergeCell ref="C21:C22"/>
    <mergeCell ref="C23:F23"/>
    <mergeCell ref="H15:T15"/>
    <mergeCell ref="C19:D19"/>
    <mergeCell ref="C20:F20"/>
    <mergeCell ref="D21:D22"/>
    <mergeCell ref="B15:B17"/>
    <mergeCell ref="C15:C17"/>
    <mergeCell ref="D15:D17"/>
  </mergeCells>
  <dataValidations count="3">
    <dataValidation type="list" allowBlank="1" showInputMessage="1" showErrorMessage="1" sqref="K21:K22" xr:uid="{8250FE48-28E7-498D-8C38-E35960BC321A}">
      <formula1>$C$23:$C$23</formula1>
    </dataValidation>
    <dataValidation type="list" allowBlank="1" showInputMessage="1" showErrorMessage="1" sqref="T21:U22 O21:Q22" xr:uid="{25AF00B9-4D52-4A00-9B33-E6D0D3D746F6}">
      <formula1>#REF!</formula1>
    </dataValidation>
    <dataValidation type="list" showInputMessage="1" showErrorMessage="1" sqref="L21:L54 H21:H54" xr:uid="{30429E46-0CCC-4D94-871B-3E7C1769F336}">
      <formula1>#REF!</formula1>
    </dataValidation>
  </dataValidations>
  <pageMargins left="0.7" right="0.7" top="0.75" bottom="0.75" header="0.3" footer="0.3"/>
  <pageSetup paperSize="9" orientation="portrait" horizontalDpi="0"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F2DAD-B45F-4966-AA77-4C296025B69F}">
  <sheetPr codeName="Sheet6">
    <tabColor theme="5"/>
  </sheetPr>
  <dimension ref="A1:U35"/>
  <sheetViews>
    <sheetView showGridLines="0" zoomScale="85" zoomScaleNormal="85" workbookViewId="0"/>
  </sheetViews>
  <sheetFormatPr defaultColWidth="8.796875" defaultRowHeight="15" x14ac:dyDescent="0.25"/>
  <cols>
    <col min="2" max="2" width="17.69921875" style="67" customWidth="1"/>
    <col min="3" max="3" width="31.5" customWidth="1"/>
    <col min="4" max="5" width="30.69921875" customWidth="1"/>
    <col min="6" max="6" width="28" style="61" customWidth="1"/>
    <col min="7" max="7" width="28.796875" customWidth="1"/>
    <col min="8" max="8" width="18.796875" style="156" customWidth="1"/>
    <col min="9" max="9" width="18.796875" customWidth="1"/>
    <col min="10" max="10" width="18.796875" style="199" customWidth="1"/>
    <col min="11" max="11" width="12.69921875" style="23" customWidth="1"/>
    <col min="12" max="12" width="18.796875" style="156" customWidth="1"/>
    <col min="13" max="13" width="18.796875" customWidth="1"/>
    <col min="14" max="17" width="27.5" customWidth="1"/>
    <col min="18" max="18" width="12.5" style="23" customWidth="1"/>
    <col min="19" max="19" width="27.19921875" customWidth="1"/>
    <col min="20" max="21" width="22.796875" customWidth="1"/>
  </cols>
  <sheetData>
    <row r="1" spans="1:21" ht="15.6" x14ac:dyDescent="0.3">
      <c r="A1" s="12"/>
      <c r="B1" s="63"/>
      <c r="C1" s="12"/>
      <c r="D1" s="12"/>
      <c r="E1" s="12"/>
      <c r="F1" s="59"/>
      <c r="G1" s="12"/>
      <c r="H1" s="152"/>
      <c r="I1" s="12"/>
      <c r="J1" s="152"/>
      <c r="K1" s="2"/>
      <c r="L1" s="152"/>
      <c r="M1" s="12"/>
      <c r="N1" s="12"/>
      <c r="O1" s="12"/>
      <c r="P1" s="12"/>
      <c r="Q1" s="12"/>
      <c r="R1" s="13"/>
      <c r="S1" s="12"/>
      <c r="T1" s="12"/>
      <c r="U1" s="12"/>
    </row>
    <row r="2" spans="1:21" ht="15.6" x14ac:dyDescent="0.3">
      <c r="A2" s="12"/>
      <c r="B2" s="63"/>
      <c r="C2" s="12"/>
      <c r="D2" s="12"/>
      <c r="E2" s="12"/>
      <c r="F2" s="59"/>
      <c r="G2" s="12"/>
      <c r="H2" s="152"/>
      <c r="I2" s="12"/>
      <c r="J2" s="152"/>
      <c r="K2" s="2"/>
      <c r="L2" s="152"/>
      <c r="M2" s="12"/>
      <c r="N2" s="12"/>
      <c r="O2" s="12"/>
      <c r="P2" s="12"/>
      <c r="Q2" s="12"/>
      <c r="R2" s="13"/>
      <c r="S2" s="12"/>
      <c r="T2" s="12"/>
      <c r="U2" s="12"/>
    </row>
    <row r="3" spans="1:21" ht="15.6" x14ac:dyDescent="0.3">
      <c r="A3" s="12"/>
      <c r="B3" s="63"/>
      <c r="C3" s="12"/>
      <c r="D3" s="12"/>
      <c r="E3" s="12"/>
      <c r="F3" s="59"/>
      <c r="G3" s="12"/>
      <c r="H3" s="152"/>
      <c r="I3" s="12"/>
      <c r="J3" s="152"/>
      <c r="K3" s="2"/>
      <c r="L3" s="152"/>
      <c r="M3" s="12"/>
      <c r="N3" s="12"/>
      <c r="O3" s="12"/>
      <c r="P3" s="12"/>
      <c r="Q3" s="12"/>
      <c r="R3" s="13"/>
      <c r="S3" s="12"/>
      <c r="T3" s="12"/>
      <c r="U3" s="12"/>
    </row>
    <row r="4" spans="1:21" ht="15.6" x14ac:dyDescent="0.3">
      <c r="A4" s="12"/>
      <c r="B4" s="63"/>
      <c r="C4" s="12"/>
      <c r="D4" s="12"/>
      <c r="E4" s="12"/>
      <c r="F4" s="59"/>
      <c r="G4" s="12"/>
      <c r="H4" s="152"/>
      <c r="I4" s="12"/>
      <c r="J4" s="152"/>
      <c r="K4" s="2"/>
      <c r="L4" s="152"/>
      <c r="M4" s="12"/>
      <c r="N4" s="12"/>
      <c r="O4" s="12"/>
      <c r="P4" s="12"/>
      <c r="Q4" s="12"/>
      <c r="R4" s="13"/>
      <c r="S4" s="12"/>
      <c r="T4" s="12"/>
      <c r="U4" s="12"/>
    </row>
    <row r="5" spans="1:21" ht="17.399999999999999" x14ac:dyDescent="0.3">
      <c r="A5" s="12"/>
      <c r="B5" s="42"/>
      <c r="C5" s="14" t="s">
        <v>24</v>
      </c>
      <c r="D5" s="432" t="s">
        <v>40</v>
      </c>
      <c r="E5" s="433"/>
      <c r="F5" s="434"/>
      <c r="G5" s="120"/>
      <c r="H5" s="152"/>
      <c r="I5" s="12"/>
      <c r="J5" s="152"/>
      <c r="K5" s="2"/>
      <c r="L5" s="152"/>
      <c r="M5" s="12"/>
      <c r="N5" s="12"/>
      <c r="O5" s="12"/>
      <c r="P5" s="12"/>
      <c r="Q5" s="12"/>
      <c r="R5" s="13"/>
      <c r="S5" s="12"/>
      <c r="T5" s="12"/>
      <c r="U5" s="12"/>
    </row>
    <row r="6" spans="1:21" ht="17.399999999999999" x14ac:dyDescent="0.3">
      <c r="A6" s="12"/>
      <c r="B6" s="42"/>
      <c r="C6" s="17" t="s">
        <v>47</v>
      </c>
      <c r="D6" s="435" t="s">
        <v>282</v>
      </c>
      <c r="E6" s="436"/>
      <c r="F6" s="437"/>
      <c r="G6" s="121"/>
      <c r="H6" s="152"/>
      <c r="I6" s="12"/>
      <c r="J6" s="152"/>
      <c r="K6" s="2"/>
      <c r="L6" s="152"/>
      <c r="M6" s="12"/>
      <c r="N6" s="12"/>
      <c r="O6" s="12"/>
      <c r="P6" s="12"/>
      <c r="R6" s="13"/>
      <c r="S6" s="12"/>
      <c r="T6" s="12"/>
      <c r="U6" s="12"/>
    </row>
    <row r="7" spans="1:21" ht="17.399999999999999" x14ac:dyDescent="0.3">
      <c r="A7" s="12"/>
      <c r="B7" s="42"/>
      <c r="C7" s="14" t="s">
        <v>49</v>
      </c>
      <c r="D7" s="438"/>
      <c r="E7" s="439"/>
      <c r="F7" s="440"/>
      <c r="G7" s="120"/>
      <c r="H7" s="152"/>
      <c r="I7" s="12"/>
      <c r="J7" s="152"/>
      <c r="K7" s="2"/>
      <c r="L7" s="152"/>
      <c r="M7" s="12"/>
      <c r="N7" s="12"/>
      <c r="O7" s="12"/>
      <c r="P7" s="12"/>
      <c r="Q7" s="12"/>
      <c r="R7" s="13"/>
      <c r="S7" s="12"/>
      <c r="T7" s="12"/>
      <c r="U7" s="12"/>
    </row>
    <row r="8" spans="1:21" ht="17.399999999999999" x14ac:dyDescent="0.3">
      <c r="A8" s="12"/>
      <c r="B8" s="42"/>
      <c r="C8" s="14" t="s">
        <v>50</v>
      </c>
      <c r="D8" s="15" t="s">
        <v>25</v>
      </c>
      <c r="E8" s="15" t="s">
        <v>26</v>
      </c>
      <c r="F8" s="15" t="s">
        <v>27</v>
      </c>
      <c r="H8" s="152"/>
      <c r="I8" s="12"/>
      <c r="J8" s="152"/>
      <c r="K8" s="2"/>
      <c r="L8" s="152"/>
      <c r="M8" s="12"/>
      <c r="N8" s="12"/>
      <c r="O8" s="12"/>
      <c r="P8" s="12"/>
      <c r="Q8" s="12"/>
      <c r="R8" s="13"/>
      <c r="S8" s="12"/>
      <c r="T8" s="12"/>
      <c r="U8" s="12"/>
    </row>
    <row r="9" spans="1:21" ht="17.399999999999999" x14ac:dyDescent="0.3">
      <c r="A9" s="12"/>
      <c r="B9" s="42"/>
      <c r="C9" s="14" t="s">
        <v>51</v>
      </c>
      <c r="D9" s="16">
        <f>COUNTIF(H18:H120, "Pass*")</f>
        <v>7</v>
      </c>
      <c r="E9" s="16">
        <f>COUNTIF(L18:L120, "Pass*")</f>
        <v>13</v>
      </c>
      <c r="F9" s="16">
        <f>COUNTIF(P18:P120, "Pass*")</f>
        <v>0</v>
      </c>
      <c r="H9" s="152"/>
      <c r="I9" s="12"/>
      <c r="J9" s="152"/>
      <c r="K9" s="2"/>
      <c r="L9" s="152"/>
      <c r="M9" s="12"/>
      <c r="N9" s="12"/>
      <c r="O9" s="12"/>
      <c r="P9" s="12"/>
      <c r="Q9" s="12"/>
      <c r="R9" s="13"/>
      <c r="S9" s="12"/>
      <c r="T9" s="12"/>
      <c r="U9" s="12"/>
    </row>
    <row r="10" spans="1:21" ht="17.399999999999999" x14ac:dyDescent="0.3">
      <c r="A10" s="12"/>
      <c r="B10" s="42"/>
      <c r="C10" s="14" t="s">
        <v>52</v>
      </c>
      <c r="D10" s="16">
        <f>COUNTIF(H19:H121, "Fail")</f>
        <v>6</v>
      </c>
      <c r="E10" s="16">
        <f>COUNTIF(L19:L121, "Fail")</f>
        <v>0</v>
      </c>
      <c r="F10" s="16">
        <f>COUNTIF(P19:P121, "Fail")</f>
        <v>0</v>
      </c>
      <c r="H10" s="152"/>
      <c r="I10" s="12"/>
      <c r="J10" s="152"/>
      <c r="K10" s="2"/>
      <c r="L10" s="152"/>
      <c r="M10" s="12"/>
      <c r="N10" s="12"/>
      <c r="O10" s="12"/>
      <c r="P10" s="12"/>
      <c r="Q10" s="12"/>
      <c r="R10" s="13"/>
      <c r="S10" s="12"/>
      <c r="T10" s="12"/>
      <c r="U10" s="12"/>
    </row>
    <row r="11" spans="1:21" ht="17.399999999999999" x14ac:dyDescent="0.3">
      <c r="A11" s="12"/>
      <c r="B11" s="42"/>
      <c r="C11" s="14" t="s">
        <v>53</v>
      </c>
      <c r="D11" s="16">
        <f>COUNTIF(H19:H122, "Untest")</f>
        <v>0</v>
      </c>
      <c r="E11" s="16">
        <f>COUNTIF(L19:L122, "Untest")</f>
        <v>0</v>
      </c>
      <c r="F11" s="16">
        <f>COUNTIF(P19:P122, "Untest")</f>
        <v>0</v>
      </c>
      <c r="H11" s="152"/>
      <c r="I11" s="12"/>
      <c r="J11" s="152"/>
      <c r="K11" s="2"/>
      <c r="L11" s="152"/>
      <c r="M11" s="12"/>
      <c r="N11" s="12"/>
      <c r="O11" s="12"/>
      <c r="P11" s="12"/>
      <c r="Q11" s="12"/>
      <c r="R11" s="13"/>
      <c r="S11" s="12"/>
      <c r="T11" s="12"/>
      <c r="U11" s="12"/>
    </row>
    <row r="12" spans="1:21" ht="17.399999999999999" x14ac:dyDescent="0.3">
      <c r="A12" s="12"/>
      <c r="B12" s="42"/>
      <c r="C12" s="14" t="s">
        <v>54</v>
      </c>
      <c r="D12" s="16">
        <f>COUNTIF(H19:H123, "N/A")</f>
        <v>0</v>
      </c>
      <c r="E12" s="16">
        <f>COUNTIF(L19:L123, "N/A")</f>
        <v>0</v>
      </c>
      <c r="F12" s="16">
        <f>COUNTIF(P19:P123, "N/A")</f>
        <v>0</v>
      </c>
      <c r="H12" s="152"/>
      <c r="I12" s="12"/>
      <c r="J12" s="152"/>
      <c r="K12" s="2"/>
      <c r="L12" s="152"/>
      <c r="M12" s="12"/>
      <c r="N12" s="12"/>
      <c r="O12" s="12"/>
      <c r="P12" s="12"/>
      <c r="Q12" s="12"/>
      <c r="R12" s="13"/>
      <c r="S12" s="12"/>
      <c r="T12" s="12"/>
      <c r="U12" s="12"/>
    </row>
    <row r="13" spans="1:21" ht="17.399999999999999" x14ac:dyDescent="0.3">
      <c r="A13" s="12"/>
      <c r="B13" s="42"/>
      <c r="C13" s="17" t="s">
        <v>55</v>
      </c>
      <c r="D13" s="143">
        <f>COUNTIF(H19:H124, "Blocking")</f>
        <v>0</v>
      </c>
      <c r="E13" s="143">
        <f>COUNTIF(L19:L124, "Blocking")</f>
        <v>0</v>
      </c>
      <c r="F13" s="143">
        <f>COUNTIF(P19:P124, "Blocking")</f>
        <v>0</v>
      </c>
      <c r="H13" s="152"/>
      <c r="I13" s="12"/>
      <c r="J13" s="152"/>
      <c r="K13" s="2"/>
      <c r="L13" s="152"/>
      <c r="M13" s="12"/>
      <c r="N13" s="12"/>
      <c r="O13" s="12"/>
      <c r="P13" s="12"/>
      <c r="Q13" s="12"/>
      <c r="R13" s="13"/>
      <c r="S13" s="12"/>
      <c r="T13" s="12"/>
      <c r="U13" s="12"/>
    </row>
    <row r="14" spans="1:21" ht="17.399999999999999" x14ac:dyDescent="0.3">
      <c r="A14" s="12"/>
      <c r="B14" s="42"/>
      <c r="C14" s="17" t="s">
        <v>56</v>
      </c>
      <c r="D14" s="441">
        <f>COUNTA($F$19:$F$1219)</f>
        <v>13</v>
      </c>
      <c r="E14" s="442"/>
      <c r="F14" s="443"/>
      <c r="G14" s="144"/>
      <c r="H14" s="153"/>
      <c r="I14" s="18"/>
      <c r="J14" s="153"/>
      <c r="K14" s="19"/>
      <c r="L14" s="153"/>
      <c r="M14" s="18"/>
      <c r="N14" s="18"/>
      <c r="O14" s="18"/>
      <c r="P14" s="18"/>
      <c r="Q14" s="18"/>
      <c r="R14" s="20"/>
      <c r="S14" s="18"/>
      <c r="T14" s="18"/>
      <c r="U14" s="18"/>
    </row>
    <row r="15" spans="1:21" s="71" customFormat="1" ht="17.399999999999999" x14ac:dyDescent="0.25">
      <c r="A15" s="70"/>
      <c r="B15" s="391" t="s">
        <v>23</v>
      </c>
      <c r="C15" s="391" t="s">
        <v>57</v>
      </c>
      <c r="D15" s="392" t="s">
        <v>58</v>
      </c>
      <c r="E15" s="102"/>
      <c r="F15" s="367" t="s">
        <v>60</v>
      </c>
      <c r="G15" s="465" t="s">
        <v>61</v>
      </c>
      <c r="H15" s="419" t="s">
        <v>62</v>
      </c>
      <c r="I15" s="419"/>
      <c r="J15" s="419"/>
      <c r="K15" s="419"/>
      <c r="L15" s="419"/>
      <c r="M15" s="419"/>
      <c r="N15" s="419"/>
      <c r="O15" s="419"/>
      <c r="P15" s="419"/>
      <c r="Q15" s="419"/>
      <c r="R15" s="419"/>
      <c r="S15" s="419"/>
      <c r="T15" s="444"/>
      <c r="U15" s="445" t="s">
        <v>63</v>
      </c>
    </row>
    <row r="16" spans="1:21" s="71" customFormat="1" ht="17.399999999999999" x14ac:dyDescent="0.25">
      <c r="A16" s="70"/>
      <c r="B16" s="392"/>
      <c r="C16" s="392"/>
      <c r="D16" s="392"/>
      <c r="E16" s="102" t="s">
        <v>59</v>
      </c>
      <c r="F16" s="367"/>
      <c r="G16" s="466"/>
      <c r="H16" s="419" t="s">
        <v>25</v>
      </c>
      <c r="I16" s="419"/>
      <c r="J16" s="419"/>
      <c r="K16" s="444"/>
      <c r="L16" s="419" t="s">
        <v>26</v>
      </c>
      <c r="M16" s="419"/>
      <c r="N16" s="419"/>
      <c r="O16" s="444"/>
      <c r="P16" s="420" t="s">
        <v>27</v>
      </c>
      <c r="Q16" s="420"/>
      <c r="R16" s="420"/>
      <c r="S16" s="446"/>
      <c r="T16" s="421" t="s">
        <v>64</v>
      </c>
      <c r="U16" s="400"/>
    </row>
    <row r="17" spans="1:21" s="71" customFormat="1" ht="17.399999999999999" x14ac:dyDescent="0.25">
      <c r="A17" s="70"/>
      <c r="B17" s="393"/>
      <c r="C17" s="393"/>
      <c r="D17" s="393"/>
      <c r="E17" s="103"/>
      <c r="F17" s="368"/>
      <c r="G17" s="467"/>
      <c r="H17" s="193" t="s">
        <v>61</v>
      </c>
      <c r="I17" s="22" t="s">
        <v>65</v>
      </c>
      <c r="J17" s="21" t="s">
        <v>66</v>
      </c>
      <c r="K17" s="21" t="s">
        <v>63</v>
      </c>
      <c r="L17" s="193" t="s">
        <v>61</v>
      </c>
      <c r="M17" s="22" t="s">
        <v>65</v>
      </c>
      <c r="N17" s="21" t="s">
        <v>66</v>
      </c>
      <c r="O17" s="21" t="s">
        <v>63</v>
      </c>
      <c r="P17" s="22" t="s">
        <v>61</v>
      </c>
      <c r="Q17" s="22" t="s">
        <v>65</v>
      </c>
      <c r="R17" s="21" t="s">
        <v>66</v>
      </c>
      <c r="S17" s="21" t="s">
        <v>63</v>
      </c>
      <c r="T17" s="407"/>
      <c r="U17" s="401"/>
    </row>
    <row r="18" spans="1:21" ht="20.399999999999999" x14ac:dyDescent="0.25">
      <c r="A18" s="12"/>
      <c r="B18" s="84"/>
      <c r="C18" s="461" t="s">
        <v>283</v>
      </c>
      <c r="D18" s="462"/>
      <c r="E18" s="462"/>
      <c r="F18" s="462"/>
      <c r="G18" s="462"/>
      <c r="H18" s="195"/>
      <c r="I18" s="194"/>
      <c r="J18" s="195"/>
      <c r="K18" s="194"/>
      <c r="L18" s="195"/>
      <c r="M18" s="194"/>
      <c r="N18" s="194"/>
      <c r="O18" s="194"/>
      <c r="P18" s="194"/>
      <c r="Q18" s="194"/>
      <c r="R18" s="194"/>
      <c r="S18" s="194"/>
      <c r="T18" s="194"/>
      <c r="U18" s="194"/>
    </row>
    <row r="19" spans="1:21" ht="22.5" customHeight="1" x14ac:dyDescent="0.25">
      <c r="A19" s="390"/>
      <c r="B19" s="66"/>
      <c r="C19" s="452" t="s">
        <v>284</v>
      </c>
      <c r="D19" s="453"/>
      <c r="E19" s="453"/>
      <c r="F19" s="453"/>
      <c r="G19" s="454"/>
      <c r="H19" s="146"/>
      <c r="I19" s="38"/>
      <c r="J19" s="42"/>
      <c r="K19" s="38"/>
      <c r="L19" s="146"/>
      <c r="M19" s="39"/>
      <c r="N19" s="39"/>
      <c r="O19" s="39"/>
      <c r="P19" s="39"/>
      <c r="Q19" s="39"/>
      <c r="R19" s="40"/>
      <c r="S19" s="37"/>
      <c r="T19" s="37"/>
      <c r="U19" s="37"/>
    </row>
    <row r="20" spans="1:21" ht="24.75" customHeight="1" x14ac:dyDescent="0.25">
      <c r="A20" s="390"/>
      <c r="B20" s="66" t="str">
        <f>IF(AND(F20="")," ",$D$6&amp;"_"&amp;ROW()-20-COUNTBLANK($F$19:F20))</f>
        <v xml:space="preserve"> </v>
      </c>
      <c r="C20" s="450" t="s">
        <v>285</v>
      </c>
      <c r="D20" s="451"/>
      <c r="E20" s="451"/>
      <c r="F20" s="355"/>
      <c r="G20" s="356"/>
      <c r="H20" s="146"/>
      <c r="I20" s="41"/>
      <c r="J20" s="42"/>
      <c r="K20" s="40"/>
      <c r="L20" s="146"/>
      <c r="M20" s="42"/>
      <c r="N20" s="43"/>
      <c r="O20" s="43"/>
      <c r="P20" s="43"/>
      <c r="Q20" s="43"/>
      <c r="R20" s="40"/>
      <c r="S20" s="41"/>
      <c r="T20" s="42"/>
      <c r="U20" s="44"/>
    </row>
    <row r="21" spans="1:21" ht="213.75" customHeight="1" x14ac:dyDescent="0.25">
      <c r="A21" s="12"/>
      <c r="B21" s="161" t="str">
        <f>IF(AND(F21="")," ",$D$6&amp;"_"&amp;ROW()-20-COUNTBLANK($F$21:F21))</f>
        <v>&lt;Thông tin&gt;_1</v>
      </c>
      <c r="C21" s="459" t="s">
        <v>284</v>
      </c>
      <c r="D21" s="459" t="s">
        <v>286</v>
      </c>
      <c r="E21" s="294" t="s">
        <v>287</v>
      </c>
      <c r="F21" s="293" t="s">
        <v>288</v>
      </c>
      <c r="G21" s="294" t="s">
        <v>289</v>
      </c>
      <c r="H21" s="145" t="s">
        <v>28</v>
      </c>
      <c r="I21" s="45"/>
      <c r="J21" s="47" t="s">
        <v>290</v>
      </c>
      <c r="K21" s="46"/>
      <c r="L21" s="145" t="s">
        <v>28</v>
      </c>
      <c r="M21" s="47"/>
      <c r="N21" s="322" t="s">
        <v>75</v>
      </c>
      <c r="O21" s="48"/>
      <c r="P21" s="48"/>
      <c r="Q21" s="48"/>
      <c r="R21" s="46"/>
      <c r="S21" s="45"/>
      <c r="T21" s="47"/>
      <c r="U21" s="49"/>
    </row>
    <row r="22" spans="1:21" ht="213.75" customHeight="1" x14ac:dyDescent="0.25">
      <c r="A22" s="12"/>
      <c r="B22" s="189" t="str">
        <f>IF(AND(G22="")," ",$D$6&amp;"_"&amp;ROW()-20-COUNTBLANK($F$21:F22))</f>
        <v>&lt;Thông tin&gt;_2</v>
      </c>
      <c r="C22" s="460"/>
      <c r="D22" s="460"/>
      <c r="E22" s="85" t="s">
        <v>187</v>
      </c>
      <c r="F22" s="85" t="s">
        <v>188</v>
      </c>
      <c r="G22" s="57" t="s">
        <v>189</v>
      </c>
      <c r="H22" s="146" t="s">
        <v>28</v>
      </c>
      <c r="I22" s="141"/>
      <c r="J22" s="80" t="s">
        <v>290</v>
      </c>
      <c r="K22" s="196"/>
      <c r="L22" s="146" t="s">
        <v>28</v>
      </c>
      <c r="M22" s="80"/>
      <c r="N22" s="322" t="s">
        <v>75</v>
      </c>
      <c r="O22" s="81"/>
      <c r="P22" s="81"/>
      <c r="Q22" s="81"/>
      <c r="R22" s="79"/>
      <c r="S22" s="78"/>
      <c r="T22" s="80"/>
      <c r="U22" s="81"/>
    </row>
    <row r="23" spans="1:21" ht="21" customHeight="1" x14ac:dyDescent="0.25">
      <c r="A23" s="12"/>
      <c r="B23" s="295" t="str">
        <f>IF(AND(F23="")," ",$D$6&amp;"_"&amp;ROW()-20-COUNTBLANK($F$21:F23))</f>
        <v xml:space="preserve"> </v>
      </c>
      <c r="C23" s="455" t="s">
        <v>291</v>
      </c>
      <c r="D23" s="456"/>
      <c r="E23" s="457"/>
      <c r="F23" s="457"/>
      <c r="G23" s="458"/>
      <c r="H23" s="148"/>
      <c r="I23" s="296"/>
      <c r="J23" s="297"/>
      <c r="K23" s="298"/>
      <c r="L23" s="148"/>
      <c r="M23" s="297"/>
      <c r="N23" s="322"/>
      <c r="O23" s="299"/>
      <c r="P23" s="299"/>
      <c r="Q23" s="299"/>
      <c r="R23" s="298"/>
      <c r="S23" s="296"/>
      <c r="T23" s="297"/>
      <c r="U23" s="300"/>
    </row>
    <row r="24" spans="1:21" ht="103.5" customHeight="1" x14ac:dyDescent="0.25">
      <c r="A24" s="12"/>
      <c r="B24" s="189" t="str">
        <f>IF(AND(F24="")," ",$D$6&amp;"_"&amp;ROW()-20-COUNTBLANK($F$21:F24))</f>
        <v>&lt;Thông tin&gt;_3</v>
      </c>
      <c r="C24" s="463" t="s">
        <v>292</v>
      </c>
      <c r="D24" s="464" t="s">
        <v>293</v>
      </c>
      <c r="E24" s="91" t="s">
        <v>294</v>
      </c>
      <c r="F24" s="124" t="s">
        <v>295</v>
      </c>
      <c r="G24" s="132" t="s">
        <v>296</v>
      </c>
      <c r="H24" s="146" t="s">
        <v>28</v>
      </c>
      <c r="I24" s="45"/>
      <c r="J24" s="47" t="s">
        <v>74</v>
      </c>
      <c r="K24" s="46"/>
      <c r="L24" s="146" t="s">
        <v>28</v>
      </c>
      <c r="M24" s="47"/>
      <c r="N24" s="322" t="s">
        <v>75</v>
      </c>
      <c r="O24" s="48"/>
      <c r="P24" s="48"/>
      <c r="Q24" s="48"/>
      <c r="R24" s="46"/>
      <c r="S24" s="45"/>
      <c r="T24" s="47"/>
      <c r="U24" s="49"/>
    </row>
    <row r="25" spans="1:21" ht="96.6" x14ac:dyDescent="0.25">
      <c r="A25" s="12"/>
      <c r="B25" s="189" t="str">
        <f>IF(AND(F25="")," ",$D$6&amp;"_"&amp;ROW()-20-COUNTBLANK($F$21:F25))</f>
        <v>&lt;Thông tin&gt;_4</v>
      </c>
      <c r="C25" s="463"/>
      <c r="D25" s="464"/>
      <c r="E25" s="133" t="s">
        <v>297</v>
      </c>
      <c r="F25" s="60" t="s">
        <v>298</v>
      </c>
      <c r="G25" s="113" t="s">
        <v>299</v>
      </c>
      <c r="H25" s="200" t="s">
        <v>29</v>
      </c>
      <c r="I25" s="45"/>
      <c r="J25" s="47" t="s">
        <v>74</v>
      </c>
      <c r="K25" s="46"/>
      <c r="L25" s="146" t="s">
        <v>28</v>
      </c>
      <c r="M25" s="47"/>
      <c r="N25" s="322" t="s">
        <v>75</v>
      </c>
      <c r="O25" s="48"/>
      <c r="P25" s="48"/>
      <c r="Q25" s="48"/>
      <c r="R25" s="46"/>
      <c r="S25" s="45"/>
      <c r="T25" s="47"/>
      <c r="U25" s="49"/>
    </row>
    <row r="26" spans="1:21" ht="96.6" x14ac:dyDescent="0.25">
      <c r="A26" s="12"/>
      <c r="B26" s="189" t="str">
        <f>IF(AND(F26="")," ",$D$6&amp;"_"&amp;ROW()-20-COUNTBLANK($F$21:F26))</f>
        <v>&lt;Thông tin&gt;_5</v>
      </c>
      <c r="C26" s="463"/>
      <c r="D26" s="464"/>
      <c r="E26" s="238" t="s">
        <v>196</v>
      </c>
      <c r="F26" s="98" t="s">
        <v>300</v>
      </c>
      <c r="G26" s="113" t="s">
        <v>301</v>
      </c>
      <c r="H26" s="146" t="s">
        <v>28</v>
      </c>
      <c r="I26" s="115"/>
      <c r="J26" s="47" t="s">
        <v>74</v>
      </c>
      <c r="K26" s="79"/>
      <c r="L26" s="146" t="s">
        <v>28</v>
      </c>
      <c r="M26" s="95"/>
      <c r="N26" s="322" t="s">
        <v>75</v>
      </c>
      <c r="O26" s="48"/>
      <c r="P26" s="48"/>
      <c r="Q26" s="48"/>
      <c r="R26" s="46"/>
      <c r="S26" s="45"/>
      <c r="T26" s="47"/>
      <c r="U26" s="49"/>
    </row>
    <row r="27" spans="1:21" ht="101.25" customHeight="1" x14ac:dyDescent="0.25">
      <c r="A27" s="12"/>
      <c r="B27" s="189" t="str">
        <f>IF(AND(F27="")," ",$D$6&amp;"_"&amp;ROW()-20-COUNTBLANK($F$21:F27))</f>
        <v>&lt;Thông tin&gt;_6</v>
      </c>
      <c r="C27" s="463"/>
      <c r="D27" s="464"/>
      <c r="E27" s="447" t="s">
        <v>199</v>
      </c>
      <c r="F27" s="94" t="s">
        <v>302</v>
      </c>
      <c r="G27" s="56" t="s">
        <v>303</v>
      </c>
      <c r="H27" s="200" t="s">
        <v>29</v>
      </c>
      <c r="I27" s="114"/>
      <c r="J27" s="47" t="s">
        <v>74</v>
      </c>
      <c r="K27" s="79"/>
      <c r="L27" s="146" t="s">
        <v>28</v>
      </c>
      <c r="M27" s="80"/>
      <c r="N27" s="322" t="s">
        <v>75</v>
      </c>
      <c r="O27" s="81"/>
      <c r="P27" s="81"/>
      <c r="Q27" s="81"/>
      <c r="R27" s="79"/>
      <c r="S27" s="78"/>
      <c r="T27" s="80"/>
      <c r="U27" s="81"/>
    </row>
    <row r="28" spans="1:21" ht="108.75" customHeight="1" x14ac:dyDescent="0.25">
      <c r="A28" s="12"/>
      <c r="B28" s="189" t="str">
        <f>IF(AND(F28="")," ",$D$6&amp;"_"&amp;ROW()-20-COUNTBLANK($F$21:F28))</f>
        <v>&lt;Thông tin&gt;_7</v>
      </c>
      <c r="C28" s="463"/>
      <c r="D28" s="464"/>
      <c r="E28" s="447"/>
      <c r="F28" s="94" t="s">
        <v>304</v>
      </c>
      <c r="G28" s="113" t="s">
        <v>301</v>
      </c>
      <c r="H28" s="146" t="s">
        <v>28</v>
      </c>
      <c r="I28" s="114"/>
      <c r="J28" s="47" t="s">
        <v>74</v>
      </c>
      <c r="K28" s="79"/>
      <c r="L28" s="146" t="s">
        <v>28</v>
      </c>
      <c r="M28" s="80"/>
      <c r="N28" s="322" t="s">
        <v>75</v>
      </c>
      <c r="O28" s="81"/>
      <c r="P28" s="81"/>
      <c r="Q28" s="81"/>
      <c r="R28" s="79"/>
      <c r="S28" s="78"/>
      <c r="T28" s="80"/>
      <c r="U28" s="81"/>
    </row>
    <row r="29" spans="1:21" ht="108" customHeight="1" x14ac:dyDescent="0.25">
      <c r="A29" s="12"/>
      <c r="B29" s="189" t="str">
        <f>IF(AND(F29="")," ",$D$6&amp;"_"&amp;ROW()-20-COUNTBLANK($F$21:F29))</f>
        <v>&lt;Thông tin&gt;_8</v>
      </c>
      <c r="C29" s="463"/>
      <c r="D29" s="464"/>
      <c r="E29" s="134" t="s">
        <v>305</v>
      </c>
      <c r="F29" s="94" t="s">
        <v>306</v>
      </c>
      <c r="G29" s="104" t="s">
        <v>307</v>
      </c>
      <c r="H29" s="200" t="s">
        <v>29</v>
      </c>
      <c r="I29" s="114"/>
      <c r="J29" s="47" t="s">
        <v>74</v>
      </c>
      <c r="K29" s="79"/>
      <c r="L29" s="146" t="s">
        <v>28</v>
      </c>
      <c r="M29" s="80"/>
      <c r="N29" s="322" t="s">
        <v>75</v>
      </c>
      <c r="O29" s="81"/>
      <c r="P29" s="81"/>
      <c r="Q29" s="81"/>
      <c r="R29" s="79"/>
      <c r="S29" s="78"/>
      <c r="T29" s="80"/>
      <c r="U29" s="81"/>
    </row>
    <row r="30" spans="1:21" ht="108" customHeight="1" x14ac:dyDescent="0.25">
      <c r="A30" s="12"/>
      <c r="B30" s="189" t="str">
        <f>IF(AND(F30="")," ",$D$6&amp;"_"&amp;ROW()-20-COUNTBLANK($F$21:F30))</f>
        <v>&lt;Thông tin&gt;_9</v>
      </c>
      <c r="C30" s="463"/>
      <c r="D30" s="464"/>
      <c r="E30" s="134" t="s">
        <v>308</v>
      </c>
      <c r="F30" s="94" t="s">
        <v>309</v>
      </c>
      <c r="G30" s="104" t="s">
        <v>310</v>
      </c>
      <c r="H30" s="200" t="s">
        <v>29</v>
      </c>
      <c r="I30" s="114"/>
      <c r="J30" s="47" t="s">
        <v>74</v>
      </c>
      <c r="K30" s="79"/>
      <c r="L30" s="146" t="s">
        <v>28</v>
      </c>
      <c r="M30" s="80"/>
      <c r="N30" s="322" t="s">
        <v>75</v>
      </c>
      <c r="O30" s="81"/>
      <c r="P30" s="81"/>
      <c r="Q30" s="81"/>
      <c r="R30" s="79"/>
      <c r="S30" s="78"/>
      <c r="T30" s="80"/>
      <c r="U30" s="81"/>
    </row>
    <row r="31" spans="1:21" ht="135.75" customHeight="1" x14ac:dyDescent="0.25">
      <c r="A31" s="12"/>
      <c r="B31" s="189" t="str">
        <f>IF(AND(F31="")," ",$D$6&amp;"_"&amp;ROW()-20-COUNTBLANK($F$21:F31))</f>
        <v>&lt;Thông tin&gt;_10</v>
      </c>
      <c r="C31" s="463"/>
      <c r="D31" s="464"/>
      <c r="E31" s="134" t="s">
        <v>311</v>
      </c>
      <c r="F31" s="94" t="s">
        <v>312</v>
      </c>
      <c r="G31" s="56" t="s">
        <v>313</v>
      </c>
      <c r="H31" s="200" t="s">
        <v>29</v>
      </c>
      <c r="I31" s="114"/>
      <c r="J31" s="47" t="s">
        <v>74</v>
      </c>
      <c r="K31" s="79" t="s">
        <v>314</v>
      </c>
      <c r="L31" s="324" t="s">
        <v>28</v>
      </c>
      <c r="M31" s="80"/>
      <c r="N31" s="322" t="s">
        <v>75</v>
      </c>
      <c r="O31" s="79"/>
      <c r="P31" s="81"/>
      <c r="Q31" s="81"/>
      <c r="R31" s="79"/>
      <c r="S31" s="78"/>
      <c r="T31" s="80"/>
      <c r="U31" s="81"/>
    </row>
    <row r="32" spans="1:21" ht="20.25" customHeight="1" x14ac:dyDescent="0.25">
      <c r="A32" s="12"/>
      <c r="B32" s="189" t="str">
        <f>IF(AND(F32="")," ",$D$6&amp;"_"&amp;ROW()-20-COUNTBLANK($F$21:F32))</f>
        <v xml:space="preserve"> </v>
      </c>
      <c r="C32" s="448" t="s">
        <v>315</v>
      </c>
      <c r="D32" s="448"/>
      <c r="E32" s="449"/>
      <c r="F32" s="449"/>
      <c r="G32" s="449"/>
      <c r="H32" s="197"/>
      <c r="I32" s="50"/>
      <c r="J32" s="47"/>
      <c r="K32" s="51"/>
      <c r="L32" s="197"/>
      <c r="M32" s="52"/>
      <c r="N32" s="322"/>
      <c r="O32" s="53"/>
      <c r="P32" s="53"/>
      <c r="Q32" s="53"/>
      <c r="R32" s="51"/>
      <c r="S32" s="50"/>
      <c r="T32" s="52"/>
      <c r="U32" s="53"/>
    </row>
    <row r="33" spans="1:21" ht="80.25" customHeight="1" x14ac:dyDescent="0.25">
      <c r="A33" s="12"/>
      <c r="B33" s="80" t="str">
        <f>IF(AND(F33="")," ",$D$6&amp;"_"&amp;ROW()-20-COUNTBLANK($F$21:F33))</f>
        <v>&lt;Thông tin&gt;_11</v>
      </c>
      <c r="C33" s="80" t="s">
        <v>316</v>
      </c>
      <c r="D33" s="364" t="s">
        <v>293</v>
      </c>
      <c r="E33" s="86" t="s">
        <v>317</v>
      </c>
      <c r="F33" s="215" t="s">
        <v>318</v>
      </c>
      <c r="G33" s="146" t="s">
        <v>319</v>
      </c>
      <c r="H33" s="146" t="s">
        <v>28</v>
      </c>
      <c r="I33" s="80"/>
      <c r="J33" s="80" t="s">
        <v>290</v>
      </c>
      <c r="K33" s="178" t="s">
        <v>320</v>
      </c>
      <c r="L33" s="146" t="s">
        <v>28</v>
      </c>
      <c r="M33" s="80"/>
      <c r="N33" s="322" t="s">
        <v>75</v>
      </c>
      <c r="O33" s="179"/>
      <c r="P33" s="179"/>
      <c r="Q33" s="179"/>
      <c r="R33" s="178"/>
      <c r="S33" s="80"/>
      <c r="T33" s="80"/>
      <c r="U33" s="179"/>
    </row>
    <row r="34" spans="1:21" ht="81.75" customHeight="1" x14ac:dyDescent="0.25">
      <c r="A34" s="12"/>
      <c r="B34" s="189" t="str">
        <f>IF(AND(F34="")," ",$D$6&amp;"_"&amp;ROW()-20-COUNTBLANK($F$21:F34))</f>
        <v>&lt;Thông tin&gt;_12</v>
      </c>
      <c r="C34" s="365" t="s">
        <v>321</v>
      </c>
      <c r="D34" s="365"/>
      <c r="E34" s="110" t="s">
        <v>322</v>
      </c>
      <c r="F34" s="191" t="s">
        <v>323</v>
      </c>
      <c r="G34" s="131" t="s">
        <v>324</v>
      </c>
      <c r="H34" s="200" t="s">
        <v>29</v>
      </c>
      <c r="I34" s="50"/>
      <c r="J34" s="47" t="s">
        <v>74</v>
      </c>
      <c r="K34" s="51" t="s">
        <v>320</v>
      </c>
      <c r="L34" s="198" t="s">
        <v>28</v>
      </c>
      <c r="M34" s="52"/>
      <c r="N34" s="322" t="s">
        <v>75</v>
      </c>
      <c r="O34" s="53"/>
      <c r="P34" s="53"/>
      <c r="Q34" s="53"/>
      <c r="R34" s="51"/>
      <c r="S34" s="50"/>
      <c r="T34" s="52"/>
      <c r="U34" s="53"/>
    </row>
    <row r="35" spans="1:21" ht="84" customHeight="1" x14ac:dyDescent="0.25">
      <c r="A35" s="12"/>
      <c r="B35" s="189" t="str">
        <f>IF(AND(F35="")," ",$D$6&amp;"_"&amp;ROW()-20-COUNTBLANK($F$21:F35))</f>
        <v>&lt;Thông tin&gt;_13</v>
      </c>
      <c r="C35" s="366"/>
      <c r="D35" s="366"/>
      <c r="E35" s="66" t="s">
        <v>325</v>
      </c>
      <c r="F35" s="55" t="s">
        <v>326</v>
      </c>
      <c r="G35" s="130" t="s">
        <v>327</v>
      </c>
      <c r="H35" s="198" t="s">
        <v>28</v>
      </c>
      <c r="I35" s="141"/>
      <c r="J35" s="80" t="s">
        <v>74</v>
      </c>
      <c r="K35" s="196"/>
      <c r="L35" s="198" t="s">
        <v>28</v>
      </c>
      <c r="M35" s="189"/>
      <c r="N35" s="78" t="s">
        <v>75</v>
      </c>
      <c r="O35" s="323"/>
      <c r="P35" s="81"/>
      <c r="Q35" s="81"/>
      <c r="R35" s="79"/>
      <c r="S35" s="78"/>
      <c r="T35" s="80"/>
      <c r="U35" s="81"/>
    </row>
  </sheetData>
  <mergeCells count="28">
    <mergeCell ref="C18:G18"/>
    <mergeCell ref="C24:C31"/>
    <mergeCell ref="D24:D31"/>
    <mergeCell ref="G15:G17"/>
    <mergeCell ref="C34:C35"/>
    <mergeCell ref="D33:D35"/>
    <mergeCell ref="A19:A20"/>
    <mergeCell ref="E27:E28"/>
    <mergeCell ref="C32:G32"/>
    <mergeCell ref="C20:G20"/>
    <mergeCell ref="C19:G19"/>
    <mergeCell ref="C23:G23"/>
    <mergeCell ref="C21:C22"/>
    <mergeCell ref="D21:D22"/>
    <mergeCell ref="H15:T15"/>
    <mergeCell ref="U15:U17"/>
    <mergeCell ref="H16:K16"/>
    <mergeCell ref="L16:O16"/>
    <mergeCell ref="P16:S16"/>
    <mergeCell ref="T16:T17"/>
    <mergeCell ref="D5:F5"/>
    <mergeCell ref="D6:F6"/>
    <mergeCell ref="D7:F7"/>
    <mergeCell ref="B15:B17"/>
    <mergeCell ref="C15:C17"/>
    <mergeCell ref="D15:D17"/>
    <mergeCell ref="F15:F17"/>
    <mergeCell ref="D14:F14"/>
  </mergeCells>
  <dataValidations count="3">
    <dataValidation type="list" allowBlank="1" showInputMessage="1" showErrorMessage="1" sqref="T19:U19 N19:Q19" xr:uid="{FD1A9213-9ECF-4A44-AA02-F4E440B63EC6}">
      <formula1>#REF!</formula1>
    </dataValidation>
    <dataValidation type="list" allowBlank="1" showInputMessage="1" showErrorMessage="1" sqref="K19" xr:uid="{E8F6A978-5FF2-47F0-98AF-10DCF7C72C4F}">
      <formula1>$C$20:$C$20</formula1>
    </dataValidation>
    <dataValidation type="list" showInputMessage="1" showErrorMessage="1" sqref="H19:H35 L19:L35" xr:uid="{00176036-95AF-4748-85B4-ABEFA9A250D5}">
      <formula1>#REF!</formula1>
    </dataValidation>
  </dataValidations>
  <pageMargins left="0.7" right="0.7" top="0.75" bottom="0.75" header="0.3" footer="0.3"/>
  <pageSetup paperSize="9" orientation="portrait" horizontalDpi="0"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98F34-D1E4-4816-9E90-DA3C716F59B4}">
  <sheetPr codeName="Sheet7">
    <tabColor theme="5" tint="0.39997558519241921"/>
  </sheetPr>
  <dimension ref="A1:U27"/>
  <sheetViews>
    <sheetView showGridLines="0" topLeftCell="A5" zoomScale="40" zoomScaleNormal="40" workbookViewId="0">
      <selection activeCell="B5" sqref="B5"/>
    </sheetView>
  </sheetViews>
  <sheetFormatPr defaultColWidth="8.796875" defaultRowHeight="15" x14ac:dyDescent="0.25"/>
  <cols>
    <col min="1" max="1" width="8.796875" style="220"/>
    <col min="2" max="2" width="17.69921875" style="221" customWidth="1"/>
    <col min="3" max="3" width="31.5" style="220" customWidth="1"/>
    <col min="4" max="5" width="30.69921875" style="220" customWidth="1"/>
    <col min="6" max="6" width="28" style="220" customWidth="1"/>
    <col min="7" max="7" width="28.796875" style="220" customWidth="1"/>
    <col min="8" max="8" width="18.796875" style="151" customWidth="1"/>
    <col min="9" max="9" width="18.796875" style="220" customWidth="1"/>
    <col min="10" max="10" width="18.796875" style="151" customWidth="1"/>
    <col min="11" max="11" width="12.69921875" style="223" customWidth="1"/>
    <col min="12" max="12" width="25.5" style="223" customWidth="1"/>
    <col min="13" max="13" width="18.796875" style="220" customWidth="1"/>
    <col min="14" max="17" width="27.5" style="220" customWidth="1"/>
    <col min="18" max="18" width="12.5" style="223" customWidth="1"/>
    <col min="19" max="19" width="27.19921875" style="220" customWidth="1"/>
    <col min="20" max="21" width="22.796875" style="220" customWidth="1"/>
    <col min="22" max="16384" width="8.796875" style="220"/>
  </cols>
  <sheetData>
    <row r="1" spans="1:21" ht="15.6" x14ac:dyDescent="0.25">
      <c r="A1" s="216"/>
      <c r="B1" s="217"/>
      <c r="C1" s="216"/>
      <c r="D1" s="216"/>
      <c r="E1" s="216"/>
      <c r="F1" s="216"/>
      <c r="G1" s="216"/>
      <c r="H1" s="149"/>
      <c r="I1" s="216"/>
      <c r="J1" s="149"/>
      <c r="K1" s="218"/>
      <c r="L1" s="218"/>
      <c r="M1" s="216"/>
      <c r="N1" s="216"/>
      <c r="O1" s="216"/>
      <c r="P1" s="216"/>
      <c r="Q1" s="216"/>
      <c r="R1" s="219"/>
      <c r="S1" s="216"/>
      <c r="T1" s="216"/>
      <c r="U1" s="216"/>
    </row>
    <row r="2" spans="1:21" ht="15.6" x14ac:dyDescent="0.25">
      <c r="A2" s="216"/>
      <c r="B2" s="217"/>
      <c r="C2" s="216"/>
      <c r="D2" s="216"/>
      <c r="E2" s="216"/>
      <c r="F2" s="216"/>
      <c r="G2" s="216"/>
      <c r="H2" s="149"/>
      <c r="I2" s="216"/>
      <c r="J2" s="149"/>
      <c r="K2" s="218"/>
      <c r="L2" s="218"/>
      <c r="M2" s="216"/>
      <c r="N2" s="216"/>
      <c r="O2" s="216"/>
      <c r="P2" s="216"/>
      <c r="Q2" s="216"/>
      <c r="R2" s="219"/>
      <c r="S2" s="216"/>
      <c r="T2" s="216"/>
      <c r="U2" s="216"/>
    </row>
    <row r="3" spans="1:21" ht="15.6" x14ac:dyDescent="0.25">
      <c r="A3" s="216"/>
      <c r="B3" s="217"/>
      <c r="C3" s="216"/>
      <c r="D3" s="216"/>
      <c r="E3" s="216"/>
      <c r="F3" s="216"/>
      <c r="G3" s="216"/>
      <c r="H3" s="149"/>
      <c r="I3" s="216"/>
      <c r="J3" s="149"/>
      <c r="K3" s="218"/>
      <c r="L3" s="218"/>
      <c r="M3" s="216"/>
      <c r="N3" s="216"/>
      <c r="O3" s="216"/>
      <c r="P3" s="216"/>
      <c r="Q3" s="216"/>
      <c r="R3" s="219"/>
      <c r="S3" s="216"/>
      <c r="T3" s="216"/>
      <c r="U3" s="216"/>
    </row>
    <row r="4" spans="1:21" ht="15.6" x14ac:dyDescent="0.25">
      <c r="A4" s="216"/>
      <c r="B4" s="217"/>
      <c r="C4" s="216"/>
      <c r="D4" s="216"/>
      <c r="E4" s="216"/>
      <c r="F4" s="216"/>
      <c r="G4" s="216"/>
      <c r="H4" s="149"/>
      <c r="I4" s="216"/>
      <c r="J4" s="149"/>
      <c r="K4" s="218"/>
      <c r="L4" s="218"/>
      <c r="M4" s="216"/>
      <c r="N4" s="216"/>
      <c r="O4" s="216"/>
      <c r="P4" s="216"/>
      <c r="Q4" s="216"/>
      <c r="R4" s="219"/>
      <c r="S4" s="216"/>
      <c r="T4" s="216"/>
      <c r="U4" s="216"/>
    </row>
    <row r="5" spans="1:21" ht="17.399999999999999" x14ac:dyDescent="0.25">
      <c r="A5" s="216"/>
      <c r="B5" s="41"/>
      <c r="C5" s="14" t="s">
        <v>24</v>
      </c>
      <c r="D5" s="432" t="s">
        <v>328</v>
      </c>
      <c r="E5" s="433"/>
      <c r="F5" s="434"/>
      <c r="G5" s="120"/>
      <c r="H5" s="149"/>
      <c r="I5" s="224"/>
      <c r="J5" s="149"/>
      <c r="K5" s="9"/>
      <c r="L5" s="9"/>
      <c r="M5" s="224"/>
      <c r="N5" s="224"/>
      <c r="O5" s="224"/>
      <c r="P5" s="224"/>
      <c r="Q5" s="224"/>
      <c r="R5" s="225"/>
      <c r="S5" s="224"/>
      <c r="T5" s="224"/>
      <c r="U5" s="224"/>
    </row>
    <row r="6" spans="1:21" ht="17.399999999999999" x14ac:dyDescent="0.25">
      <c r="A6" s="216"/>
      <c r="B6" s="41"/>
      <c r="C6" s="17" t="s">
        <v>47</v>
      </c>
      <c r="D6" s="485" t="s">
        <v>329</v>
      </c>
      <c r="E6" s="486"/>
      <c r="F6" s="487"/>
      <c r="G6" s="226"/>
      <c r="H6" s="149"/>
      <c r="I6" s="224"/>
      <c r="J6" s="149"/>
      <c r="K6" s="9"/>
      <c r="L6" s="9"/>
      <c r="M6" s="224"/>
      <c r="N6" s="224"/>
      <c r="O6" s="224"/>
      <c r="P6" s="224"/>
      <c r="Q6" s="227"/>
      <c r="R6" s="225"/>
      <c r="S6" s="224"/>
      <c r="T6" s="224"/>
      <c r="U6" s="224"/>
    </row>
    <row r="7" spans="1:21" ht="17.399999999999999" x14ac:dyDescent="0.25">
      <c r="A7" s="216"/>
      <c r="B7" s="41"/>
      <c r="C7" s="14" t="s">
        <v>49</v>
      </c>
      <c r="D7" s="438"/>
      <c r="E7" s="439"/>
      <c r="F7" s="440"/>
      <c r="G7" s="120"/>
      <c r="H7" s="149"/>
      <c r="I7" s="224"/>
      <c r="J7" s="149"/>
      <c r="K7" s="9"/>
      <c r="L7" s="9"/>
      <c r="M7" s="224"/>
      <c r="N7" s="224"/>
      <c r="O7" s="224"/>
      <c r="P7" s="224"/>
      <c r="Q7" s="224"/>
      <c r="R7" s="225"/>
      <c r="S7" s="224"/>
      <c r="T7" s="224"/>
      <c r="U7" s="224"/>
    </row>
    <row r="8" spans="1:21" ht="17.399999999999999" x14ac:dyDescent="0.25">
      <c r="A8" s="216"/>
      <c r="B8" s="41"/>
      <c r="C8" s="14" t="s">
        <v>50</v>
      </c>
      <c r="D8" s="15" t="s">
        <v>25</v>
      </c>
      <c r="E8" s="15" t="s">
        <v>26</v>
      </c>
      <c r="F8" s="15" t="s">
        <v>27</v>
      </c>
      <c r="G8" s="227"/>
      <c r="H8" s="149"/>
      <c r="I8" s="224"/>
      <c r="J8" s="149"/>
      <c r="K8" s="9"/>
      <c r="L8" s="9"/>
      <c r="M8" s="224"/>
      <c r="N8" s="224"/>
      <c r="O8" s="224"/>
      <c r="P8" s="224"/>
      <c r="Q8" s="224"/>
      <c r="R8" s="225"/>
      <c r="S8" s="224"/>
      <c r="T8" s="224"/>
      <c r="U8" s="224"/>
    </row>
    <row r="9" spans="1:21" ht="17.399999999999999" x14ac:dyDescent="0.25">
      <c r="A9" s="216"/>
      <c r="B9" s="41"/>
      <c r="C9" s="14" t="s">
        <v>51</v>
      </c>
      <c r="D9" s="16">
        <f>COUNTIF(H18:H112, "Pass*")</f>
        <v>6</v>
      </c>
      <c r="E9" s="16">
        <f>COUNTIF(L18:L112, "Pass*")</f>
        <v>0</v>
      </c>
      <c r="F9" s="16">
        <f>COUNTIF(P18:P112, "Pass*")</f>
        <v>0</v>
      </c>
      <c r="G9" s="227"/>
      <c r="H9" s="149"/>
      <c r="I9" s="224"/>
      <c r="J9" s="149"/>
      <c r="K9" s="9"/>
      <c r="L9" s="9"/>
      <c r="M9" s="224"/>
      <c r="N9" s="224"/>
      <c r="O9" s="224"/>
      <c r="P9" s="224"/>
      <c r="Q9" s="224"/>
      <c r="R9" s="225"/>
      <c r="S9" s="224"/>
      <c r="T9" s="224"/>
      <c r="U9" s="224"/>
    </row>
    <row r="10" spans="1:21" ht="17.399999999999999" x14ac:dyDescent="0.25">
      <c r="A10" s="216"/>
      <c r="B10" s="41"/>
      <c r="C10" s="14" t="s">
        <v>52</v>
      </c>
      <c r="D10" s="16">
        <f>COUNTIF(H19:H113, "Fail")</f>
        <v>0</v>
      </c>
      <c r="E10" s="16">
        <f>COUNTIF(L19:L113, "Fail")</f>
        <v>0</v>
      </c>
      <c r="F10" s="16">
        <f>COUNTIF(P19:P113, "Fail")</f>
        <v>0</v>
      </c>
      <c r="G10" s="227"/>
      <c r="H10" s="149"/>
      <c r="I10" s="224"/>
      <c r="J10" s="149"/>
      <c r="K10" s="9"/>
      <c r="L10" s="9"/>
      <c r="M10" s="224"/>
      <c r="N10" s="224"/>
      <c r="O10" s="224"/>
      <c r="P10" s="224"/>
      <c r="Q10" s="224"/>
      <c r="R10" s="225"/>
      <c r="S10" s="224"/>
      <c r="T10" s="224"/>
      <c r="U10" s="224"/>
    </row>
    <row r="11" spans="1:21" ht="17.399999999999999" x14ac:dyDescent="0.25">
      <c r="A11" s="216"/>
      <c r="B11" s="41"/>
      <c r="C11" s="14" t="s">
        <v>53</v>
      </c>
      <c r="D11" s="16">
        <f>COUNTIF(H19:H114, "Untest")</f>
        <v>0</v>
      </c>
      <c r="E11" s="16">
        <f>COUNTIF(L19:L114, "Untest")</f>
        <v>0</v>
      </c>
      <c r="F11" s="16">
        <f>COUNTIF(P19:P114, "Untest")</f>
        <v>0</v>
      </c>
      <c r="G11" s="227"/>
      <c r="H11" s="149"/>
      <c r="I11" s="224"/>
      <c r="J11" s="149"/>
      <c r="K11" s="9"/>
      <c r="L11" s="9"/>
      <c r="M11" s="224"/>
      <c r="N11" s="224"/>
      <c r="O11" s="224"/>
      <c r="P11" s="224"/>
      <c r="Q11" s="224"/>
      <c r="R11" s="225"/>
      <c r="S11" s="224"/>
      <c r="T11" s="224"/>
      <c r="U11" s="224"/>
    </row>
    <row r="12" spans="1:21" ht="17.399999999999999" x14ac:dyDescent="0.25">
      <c r="A12" s="216"/>
      <c r="B12" s="41"/>
      <c r="C12" s="14" t="s">
        <v>54</v>
      </c>
      <c r="D12" s="16">
        <f>COUNTIF(H19:H115, "N/A")</f>
        <v>0</v>
      </c>
      <c r="E12" s="16">
        <f>COUNTIF(L19:L115, "N/A")</f>
        <v>0</v>
      </c>
      <c r="F12" s="16">
        <f>COUNTIF(P19:P115, "N/A")</f>
        <v>0</v>
      </c>
      <c r="G12" s="227"/>
      <c r="H12" s="149"/>
      <c r="I12" s="224"/>
      <c r="J12" s="149"/>
      <c r="K12" s="9"/>
      <c r="L12" s="9"/>
      <c r="M12" s="224"/>
      <c r="N12" s="224"/>
      <c r="O12" s="224"/>
      <c r="P12" s="224"/>
      <c r="Q12" s="224"/>
      <c r="R12" s="225"/>
      <c r="S12" s="224"/>
      <c r="T12" s="224"/>
      <c r="U12" s="224"/>
    </row>
    <row r="13" spans="1:21" ht="17.399999999999999" x14ac:dyDescent="0.25">
      <c r="A13" s="216"/>
      <c r="B13" s="41"/>
      <c r="C13" s="17" t="s">
        <v>55</v>
      </c>
      <c r="D13" s="143">
        <f>COUNTIF(H19:H116, "Blocking")</f>
        <v>0</v>
      </c>
      <c r="E13" s="143">
        <f>COUNTIF(L19:L116, "Blocking")</f>
        <v>0</v>
      </c>
      <c r="F13" s="143">
        <f>COUNTIF(P19:P116, "Blocking")</f>
        <v>0</v>
      </c>
      <c r="G13" s="227"/>
      <c r="H13" s="149"/>
      <c r="I13" s="224"/>
      <c r="J13" s="149"/>
      <c r="K13" s="9"/>
      <c r="L13" s="9"/>
      <c r="M13" s="224"/>
      <c r="N13" s="224"/>
      <c r="O13" s="224"/>
      <c r="P13" s="224"/>
      <c r="Q13" s="224"/>
      <c r="R13" s="225"/>
      <c r="S13" s="224"/>
      <c r="T13" s="224"/>
      <c r="U13" s="224"/>
    </row>
    <row r="14" spans="1:21" ht="17.399999999999999" x14ac:dyDescent="0.25">
      <c r="A14" s="216"/>
      <c r="B14" s="45"/>
      <c r="C14" s="279" t="s">
        <v>56</v>
      </c>
      <c r="D14" s="484">
        <f>COUNTA($F$19:$F$1211)</f>
        <v>6</v>
      </c>
      <c r="E14" s="484"/>
      <c r="F14" s="484"/>
      <c r="G14" s="144"/>
      <c r="H14" s="149"/>
      <c r="I14" s="224"/>
      <c r="J14" s="149"/>
      <c r="K14" s="9"/>
      <c r="L14" s="9"/>
      <c r="M14" s="224"/>
      <c r="N14" s="224"/>
      <c r="O14" s="224"/>
      <c r="P14" s="224"/>
      <c r="Q14" s="224"/>
      <c r="R14" s="225"/>
      <c r="S14" s="224"/>
      <c r="T14" s="224"/>
      <c r="U14" s="224"/>
    </row>
    <row r="15" spans="1:21" s="221" customFormat="1" ht="17.399999999999999" x14ac:dyDescent="0.25">
      <c r="A15" s="217"/>
      <c r="B15" s="476" t="s">
        <v>23</v>
      </c>
      <c r="C15" s="476" t="s">
        <v>57</v>
      </c>
      <c r="D15" s="488" t="s">
        <v>58</v>
      </c>
      <c r="E15" s="478" t="s">
        <v>59</v>
      </c>
      <c r="F15" s="489" t="s">
        <v>60</v>
      </c>
      <c r="G15" s="476" t="s">
        <v>61</v>
      </c>
      <c r="H15" s="475" t="s">
        <v>62</v>
      </c>
      <c r="I15" s="476"/>
      <c r="J15" s="476"/>
      <c r="K15" s="476"/>
      <c r="L15" s="476"/>
      <c r="M15" s="476"/>
      <c r="N15" s="476"/>
      <c r="O15" s="476"/>
      <c r="P15" s="476"/>
      <c r="Q15" s="476"/>
      <c r="R15" s="476"/>
      <c r="S15" s="476"/>
      <c r="T15" s="477"/>
      <c r="U15" s="480" t="s">
        <v>63</v>
      </c>
    </row>
    <row r="16" spans="1:21" s="221" customFormat="1" ht="17.399999999999999" x14ac:dyDescent="0.25">
      <c r="A16" s="217"/>
      <c r="B16" s="476"/>
      <c r="C16" s="476"/>
      <c r="D16" s="477"/>
      <c r="E16" s="478"/>
      <c r="F16" s="490"/>
      <c r="G16" s="476"/>
      <c r="H16" s="475" t="s">
        <v>25</v>
      </c>
      <c r="I16" s="476"/>
      <c r="J16" s="476"/>
      <c r="K16" s="476"/>
      <c r="L16" s="476" t="s">
        <v>26</v>
      </c>
      <c r="M16" s="476"/>
      <c r="N16" s="476"/>
      <c r="O16" s="476"/>
      <c r="P16" s="476" t="s">
        <v>27</v>
      </c>
      <c r="Q16" s="476"/>
      <c r="R16" s="476"/>
      <c r="S16" s="476"/>
      <c r="T16" s="482" t="s">
        <v>64</v>
      </c>
      <c r="U16" s="480"/>
    </row>
    <row r="17" spans="1:21" s="221" customFormat="1" ht="17.399999999999999" x14ac:dyDescent="0.25">
      <c r="A17" s="217"/>
      <c r="B17" s="476"/>
      <c r="C17" s="476"/>
      <c r="D17" s="477"/>
      <c r="E17" s="479"/>
      <c r="F17" s="490"/>
      <c r="G17" s="476"/>
      <c r="H17" s="303" t="s">
        <v>61</v>
      </c>
      <c r="I17" s="228" t="s">
        <v>65</v>
      </c>
      <c r="J17" s="302" t="s">
        <v>66</v>
      </c>
      <c r="K17" s="229" t="s">
        <v>63</v>
      </c>
      <c r="L17" s="228" t="s">
        <v>61</v>
      </c>
      <c r="M17" s="228" t="s">
        <v>65</v>
      </c>
      <c r="N17" s="229" t="s">
        <v>66</v>
      </c>
      <c r="O17" s="229" t="s">
        <v>63</v>
      </c>
      <c r="P17" s="228" t="s">
        <v>61</v>
      </c>
      <c r="Q17" s="228" t="s">
        <v>65</v>
      </c>
      <c r="R17" s="229" t="s">
        <v>66</v>
      </c>
      <c r="S17" s="229" t="s">
        <v>63</v>
      </c>
      <c r="T17" s="483"/>
      <c r="U17" s="481"/>
    </row>
    <row r="18" spans="1:21" ht="20.399999999999999" x14ac:dyDescent="0.25">
      <c r="A18" s="216"/>
      <c r="B18" s="230"/>
      <c r="C18" s="468" t="s">
        <v>283</v>
      </c>
      <c r="D18" s="468"/>
      <c r="E18" s="469"/>
      <c r="F18" s="468"/>
      <c r="G18" s="469"/>
      <c r="H18" s="468"/>
      <c r="I18" s="468"/>
      <c r="J18" s="468"/>
      <c r="K18" s="468"/>
      <c r="L18" s="468"/>
      <c r="M18" s="468"/>
      <c r="N18" s="468"/>
      <c r="O18" s="468"/>
      <c r="P18" s="468"/>
      <c r="Q18" s="468"/>
      <c r="R18" s="468"/>
      <c r="S18" s="468"/>
      <c r="T18" s="468"/>
      <c r="U18" s="468"/>
    </row>
    <row r="19" spans="1:21" ht="22.5" customHeight="1" x14ac:dyDescent="0.25">
      <c r="A19" s="470"/>
      <c r="B19" s="231"/>
      <c r="C19" s="471" t="s">
        <v>330</v>
      </c>
      <c r="D19" s="471"/>
      <c r="E19" s="471"/>
      <c r="F19" s="232"/>
      <c r="G19" s="232"/>
      <c r="H19" s="148"/>
      <c r="I19" s="210"/>
      <c r="J19" s="304"/>
      <c r="K19" s="210"/>
      <c r="L19" s="210"/>
      <c r="M19" s="210"/>
      <c r="N19" s="210"/>
      <c r="O19" s="210"/>
      <c r="P19" s="210"/>
      <c r="Q19" s="210"/>
      <c r="R19" s="211"/>
      <c r="S19" s="210"/>
      <c r="T19" s="212"/>
      <c r="U19" s="210"/>
    </row>
    <row r="20" spans="1:21" ht="20.399999999999999" x14ac:dyDescent="0.25">
      <c r="A20" s="470"/>
      <c r="B20" s="231" t="str">
        <f>IF(AND(F20="")," ",$D$6&amp;"_"&amp;ROW()-20-COUNTBLANK($F$19:F20))</f>
        <v xml:space="preserve"> </v>
      </c>
      <c r="C20" s="472" t="s">
        <v>331</v>
      </c>
      <c r="D20" s="472"/>
      <c r="E20" s="472"/>
      <c r="F20" s="472"/>
      <c r="G20" s="233"/>
      <c r="H20" s="146"/>
      <c r="I20" s="78"/>
      <c r="J20" s="80"/>
      <c r="K20" s="79"/>
      <c r="L20" s="78"/>
      <c r="M20" s="78"/>
      <c r="N20" s="81"/>
      <c r="O20" s="81"/>
      <c r="P20" s="81"/>
      <c r="Q20" s="81"/>
      <c r="R20" s="79"/>
      <c r="S20" s="78"/>
      <c r="T20" s="141"/>
      <c r="U20" s="81"/>
    </row>
    <row r="21" spans="1:21" ht="103.5" customHeight="1" x14ac:dyDescent="0.25">
      <c r="A21" s="216"/>
      <c r="B21" s="231" t="str">
        <f>IF(AND(F21="")," ",$D$6&amp;"_"&amp;ROW()-20-COUNTBLANK($F$21:F21))</f>
        <v>&lt;Từ điển&gt;_1</v>
      </c>
      <c r="C21" s="372" t="s">
        <v>332</v>
      </c>
      <c r="D21" s="97" t="s">
        <v>333</v>
      </c>
      <c r="E21" s="222" t="s">
        <v>334</v>
      </c>
      <c r="F21" s="222" t="s">
        <v>335</v>
      </c>
      <c r="G21" s="222" t="s">
        <v>336</v>
      </c>
      <c r="H21" s="146" t="s">
        <v>28</v>
      </c>
      <c r="I21" s="78"/>
      <c r="J21" s="80" t="s">
        <v>337</v>
      </c>
      <c r="K21" s="79"/>
      <c r="L21" s="78"/>
      <c r="M21" s="78"/>
      <c r="N21" s="81"/>
      <c r="O21" s="81"/>
      <c r="P21" s="81"/>
      <c r="Q21" s="81"/>
      <c r="R21" s="79"/>
      <c r="S21" s="78"/>
      <c r="T21" s="141"/>
      <c r="U21" s="81"/>
    </row>
    <row r="22" spans="1:21" ht="78" x14ac:dyDescent="0.25">
      <c r="A22" s="216"/>
      <c r="B22" s="231" t="str">
        <f>IF(AND(F22="")," ",$D$6&amp;"_"&amp;ROW()-20-COUNTBLANK($F$21:F22))</f>
        <v>&lt;Từ điển&gt;_2</v>
      </c>
      <c r="C22" s="474"/>
      <c r="D22" s="97" t="s">
        <v>293</v>
      </c>
      <c r="E22" s="222" t="s">
        <v>338</v>
      </c>
      <c r="F22" s="222" t="s">
        <v>335</v>
      </c>
      <c r="G22" s="222" t="s">
        <v>339</v>
      </c>
      <c r="H22" s="146" t="s">
        <v>28</v>
      </c>
      <c r="I22" s="78"/>
      <c r="J22" s="80" t="s">
        <v>337</v>
      </c>
      <c r="K22" s="79"/>
      <c r="L22" s="78"/>
      <c r="M22" s="78"/>
      <c r="N22" s="81"/>
      <c r="O22" s="81"/>
      <c r="P22" s="81"/>
      <c r="Q22" s="81"/>
      <c r="R22" s="79"/>
      <c r="S22" s="78"/>
      <c r="T22" s="141"/>
      <c r="U22" s="81"/>
    </row>
    <row r="23" spans="1:21" ht="127.05" customHeight="1" x14ac:dyDescent="0.25">
      <c r="A23" s="216"/>
      <c r="B23" s="231" t="str">
        <f>IF(AND(F23="")," ",$D$6&amp;"_"&amp;ROW()-20-COUNTBLANK($F$21:F23))</f>
        <v>&lt;Từ điển&gt;_3</v>
      </c>
      <c r="C23" s="373"/>
      <c r="D23" s="97" t="s">
        <v>340</v>
      </c>
      <c r="E23" s="222" t="s">
        <v>341</v>
      </c>
      <c r="F23" s="222" t="s">
        <v>342</v>
      </c>
      <c r="G23" s="222" t="s">
        <v>343</v>
      </c>
      <c r="H23" s="146" t="s">
        <v>28</v>
      </c>
      <c r="I23" s="78"/>
      <c r="J23" s="80" t="s">
        <v>337</v>
      </c>
      <c r="K23" s="79"/>
      <c r="L23" s="78"/>
      <c r="M23" s="78"/>
      <c r="N23" s="81"/>
      <c r="O23" s="81"/>
      <c r="P23" s="81"/>
      <c r="Q23" s="81"/>
      <c r="R23" s="79"/>
      <c r="S23" s="78"/>
      <c r="T23" s="141"/>
      <c r="U23" s="81"/>
    </row>
    <row r="24" spans="1:21" ht="15.6" x14ac:dyDescent="0.25">
      <c r="A24" s="216"/>
      <c r="B24" s="231"/>
      <c r="C24" s="472" t="s">
        <v>270</v>
      </c>
      <c r="D24" s="472"/>
      <c r="E24" s="472"/>
      <c r="F24" s="472"/>
      <c r="G24" s="472"/>
      <c r="H24" s="146"/>
      <c r="I24" s="234"/>
      <c r="J24" s="80"/>
      <c r="K24" s="235"/>
      <c r="L24" s="235"/>
      <c r="M24" s="234"/>
      <c r="N24" s="234"/>
      <c r="O24" s="234"/>
      <c r="P24" s="234"/>
      <c r="Q24" s="234"/>
      <c r="R24" s="236"/>
      <c r="S24" s="234"/>
      <c r="T24" s="237"/>
      <c r="U24" s="234"/>
    </row>
    <row r="25" spans="1:21" ht="93.6" x14ac:dyDescent="0.25">
      <c r="A25" s="216"/>
      <c r="B25" s="231" t="str">
        <f>IF(AND(F25="")," ",$D$6&amp;"_"&amp;ROW()-20-COUNTBLANK($F$21:F25))</f>
        <v>&lt;Từ điển&gt;_4</v>
      </c>
      <c r="C25" s="473" t="s">
        <v>344</v>
      </c>
      <c r="D25" s="473" t="s">
        <v>345</v>
      </c>
      <c r="E25" s="222" t="s">
        <v>346</v>
      </c>
      <c r="F25" s="222" t="s">
        <v>347</v>
      </c>
      <c r="G25" s="222" t="s">
        <v>348</v>
      </c>
      <c r="H25" s="146" t="s">
        <v>28</v>
      </c>
      <c r="I25" s="78"/>
      <c r="J25" s="80" t="s">
        <v>337</v>
      </c>
      <c r="K25" s="79"/>
      <c r="L25" s="78"/>
      <c r="M25" s="78"/>
      <c r="N25" s="81"/>
      <c r="O25" s="81"/>
      <c r="P25" s="81"/>
      <c r="Q25" s="81"/>
      <c r="R25" s="79"/>
      <c r="S25" s="78"/>
      <c r="T25" s="141"/>
      <c r="U25" s="81"/>
    </row>
    <row r="26" spans="1:21" ht="138.6" customHeight="1" x14ac:dyDescent="0.25">
      <c r="A26" s="216"/>
      <c r="B26" s="231" t="str">
        <f>IF(AND(F26="")," ",$D$6&amp;"_"&amp;ROW()-20-COUNTBLANK($F$21:F26))</f>
        <v>&lt;Từ điển&gt;_5</v>
      </c>
      <c r="C26" s="473"/>
      <c r="D26" s="473"/>
      <c r="E26" s="97" t="s">
        <v>349</v>
      </c>
      <c r="F26" s="222" t="s">
        <v>350</v>
      </c>
      <c r="G26" s="62" t="s">
        <v>351</v>
      </c>
      <c r="H26" s="146" t="s">
        <v>28</v>
      </c>
      <c r="I26" s="78"/>
      <c r="J26" s="80" t="s">
        <v>337</v>
      </c>
      <c r="K26" s="79"/>
      <c r="L26" s="78"/>
      <c r="M26" s="78"/>
      <c r="N26" s="81"/>
      <c r="O26" s="81"/>
      <c r="P26" s="81"/>
      <c r="Q26" s="81"/>
      <c r="R26" s="79"/>
      <c r="S26" s="78"/>
      <c r="T26" s="141"/>
      <c r="U26" s="81"/>
    </row>
    <row r="27" spans="1:21" ht="167.1" customHeight="1" x14ac:dyDescent="0.25">
      <c r="A27" s="216"/>
      <c r="B27" s="231" t="str">
        <f>IF(AND(F27="")," ",$D$6&amp;"_"&amp;ROW()-20-COUNTBLANK($F$21:F27))</f>
        <v>&lt;Từ điển&gt;_6</v>
      </c>
      <c r="C27" s="473"/>
      <c r="D27" s="473"/>
      <c r="E27" s="97" t="s">
        <v>352</v>
      </c>
      <c r="F27" s="222" t="s">
        <v>353</v>
      </c>
      <c r="G27" s="62" t="s">
        <v>354</v>
      </c>
      <c r="H27" s="146" t="s">
        <v>28</v>
      </c>
      <c r="I27" s="78"/>
      <c r="J27" s="80" t="s">
        <v>337</v>
      </c>
      <c r="K27" s="79"/>
      <c r="L27" s="78"/>
      <c r="M27" s="78"/>
      <c r="N27" s="81"/>
      <c r="O27" s="81"/>
      <c r="P27" s="81"/>
      <c r="Q27" s="81"/>
      <c r="R27" s="79"/>
      <c r="S27" s="78"/>
      <c r="T27" s="141"/>
      <c r="U27" s="81"/>
    </row>
  </sheetData>
  <mergeCells count="24">
    <mergeCell ref="D14:F14"/>
    <mergeCell ref="D5:F5"/>
    <mergeCell ref="D6:F6"/>
    <mergeCell ref="D7:F7"/>
    <mergeCell ref="B15:B17"/>
    <mergeCell ref="C15:C17"/>
    <mergeCell ref="D15:D17"/>
    <mergeCell ref="F15:F17"/>
    <mergeCell ref="H15:T15"/>
    <mergeCell ref="G15:G17"/>
    <mergeCell ref="E15:E17"/>
    <mergeCell ref="U15:U17"/>
    <mergeCell ref="H16:K16"/>
    <mergeCell ref="L16:O16"/>
    <mergeCell ref="P16:S16"/>
    <mergeCell ref="T16:T17"/>
    <mergeCell ref="C18:U18"/>
    <mergeCell ref="A19:A20"/>
    <mergeCell ref="C19:E19"/>
    <mergeCell ref="C20:F20"/>
    <mergeCell ref="C25:C27"/>
    <mergeCell ref="C24:G24"/>
    <mergeCell ref="D25:D27"/>
    <mergeCell ref="C21:C23"/>
  </mergeCells>
  <dataValidations count="3">
    <dataValidation type="list" allowBlank="1" showInputMessage="1" showErrorMessage="1" sqref="T19:U19 N19:Q19" xr:uid="{9021EBA5-26F2-4EED-A56D-AE762385404D}">
      <formula1>#REF!</formula1>
    </dataValidation>
    <dataValidation type="list" allowBlank="1" showInputMessage="1" showErrorMessage="1" sqref="K19" xr:uid="{D33FBE3D-63B4-48E4-9CF2-DD7E6BBB964A}">
      <formula1>$C$20:$C$20</formula1>
    </dataValidation>
    <dataValidation type="list" showInputMessage="1" showErrorMessage="1" sqref="H19:H27" xr:uid="{2AFC1E72-301C-4839-AF95-3FE4725574A8}">
      <formula1>#REF!</formula1>
    </dataValidation>
  </dataValidations>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D50724-2F44-4831-A2C2-B0670969BBB2}">
  <sheetPr>
    <tabColor theme="5" tint="0.79998168889431442"/>
  </sheetPr>
  <dimension ref="A1:U38"/>
  <sheetViews>
    <sheetView showGridLines="0" zoomScale="40" zoomScaleNormal="40" workbookViewId="0">
      <selection activeCell="M20" sqref="M20"/>
    </sheetView>
  </sheetViews>
  <sheetFormatPr defaultColWidth="8.796875" defaultRowHeight="15" x14ac:dyDescent="0.25"/>
  <cols>
    <col min="2" max="2" width="17.69921875" style="67" customWidth="1"/>
    <col min="3" max="3" width="31.5" customWidth="1"/>
    <col min="4" max="5" width="30.69921875" customWidth="1"/>
    <col min="6" max="6" width="28" style="61" customWidth="1"/>
    <col min="7" max="7" width="28.796875" customWidth="1"/>
    <col min="8" max="8" width="18.796875" style="172" customWidth="1"/>
    <col min="9" max="9" width="18.796875" customWidth="1"/>
    <col min="10" max="10" width="18.796875" style="199" customWidth="1"/>
    <col min="11" max="11" width="12.69921875" style="23" customWidth="1"/>
    <col min="12" max="12" width="18.796875" style="172" customWidth="1"/>
    <col min="13" max="13" width="18.796875" customWidth="1"/>
    <col min="14" max="17" width="27.5" customWidth="1"/>
    <col min="18" max="18" width="12.5" style="23" customWidth="1"/>
    <col min="19" max="19" width="27.19921875" customWidth="1"/>
    <col min="20" max="21" width="22.796875" customWidth="1"/>
  </cols>
  <sheetData>
    <row r="1" spans="1:21" ht="15.6" x14ac:dyDescent="0.3">
      <c r="A1" s="12"/>
      <c r="B1" s="63"/>
      <c r="C1" s="12"/>
      <c r="D1" s="12"/>
      <c r="E1" s="12"/>
      <c r="F1" s="59"/>
      <c r="G1" s="12"/>
      <c r="H1" s="170"/>
      <c r="I1" s="12"/>
      <c r="J1" s="152"/>
      <c r="K1" s="2"/>
      <c r="L1" s="170"/>
      <c r="M1" s="12"/>
      <c r="N1" s="12"/>
      <c r="O1" s="12"/>
      <c r="P1" s="12"/>
      <c r="Q1" s="12"/>
      <c r="R1" s="13"/>
      <c r="S1" s="12"/>
      <c r="T1" s="12"/>
      <c r="U1" s="12"/>
    </row>
    <row r="2" spans="1:21" ht="15.6" x14ac:dyDescent="0.3">
      <c r="A2" s="12"/>
      <c r="B2" s="63"/>
      <c r="C2" s="12"/>
      <c r="D2" s="12"/>
      <c r="E2" s="12"/>
      <c r="F2" s="59"/>
      <c r="G2" s="12"/>
      <c r="H2" s="170"/>
      <c r="I2" s="12"/>
      <c r="J2" s="152"/>
      <c r="K2" s="2"/>
      <c r="L2" s="170"/>
      <c r="M2" s="12"/>
      <c r="N2" s="12"/>
      <c r="O2" s="12"/>
      <c r="P2" s="12"/>
      <c r="Q2" s="12"/>
      <c r="R2" s="13"/>
      <c r="S2" s="12"/>
      <c r="T2" s="12"/>
      <c r="U2" s="12"/>
    </row>
    <row r="3" spans="1:21" ht="15.6" x14ac:dyDescent="0.3">
      <c r="A3" s="12"/>
      <c r="B3" s="63"/>
      <c r="C3" s="12"/>
      <c r="D3" s="12"/>
      <c r="E3" s="12"/>
      <c r="F3" s="59"/>
      <c r="G3" s="12"/>
      <c r="H3" s="170"/>
      <c r="I3" s="12"/>
      <c r="J3" s="152"/>
      <c r="K3" s="2"/>
      <c r="L3" s="170"/>
      <c r="M3" s="12"/>
      <c r="N3" s="12"/>
      <c r="O3" s="12"/>
      <c r="P3" s="12"/>
      <c r="Q3" s="12"/>
      <c r="R3" s="13"/>
      <c r="S3" s="12"/>
      <c r="T3" s="12"/>
      <c r="U3" s="12"/>
    </row>
    <row r="4" spans="1:21" ht="15.6" x14ac:dyDescent="0.3">
      <c r="A4" s="12"/>
      <c r="B4" s="63"/>
      <c r="C4" s="12"/>
      <c r="D4" s="12"/>
      <c r="E4" s="12"/>
      <c r="F4" s="59"/>
      <c r="G4" s="12"/>
      <c r="H4" s="170"/>
      <c r="I4" s="12"/>
      <c r="J4" s="152"/>
      <c r="K4" s="2"/>
      <c r="L4" s="170"/>
      <c r="M4" s="12"/>
      <c r="N4" s="12"/>
      <c r="O4" s="12"/>
      <c r="P4" s="12"/>
      <c r="Q4" s="12"/>
      <c r="R4" s="13"/>
      <c r="S4" s="12"/>
      <c r="T4" s="12"/>
      <c r="U4" s="12"/>
    </row>
    <row r="5" spans="1:21" ht="17.399999999999999" x14ac:dyDescent="0.3">
      <c r="A5" s="12"/>
      <c r="B5" s="42"/>
      <c r="C5" s="14" t="s">
        <v>24</v>
      </c>
      <c r="D5" s="432" t="s">
        <v>355</v>
      </c>
      <c r="E5" s="433"/>
      <c r="F5" s="434"/>
      <c r="G5" s="120"/>
      <c r="H5" s="170"/>
      <c r="I5" s="12"/>
      <c r="J5" s="152"/>
      <c r="K5" s="2"/>
      <c r="L5" s="170"/>
      <c r="M5" s="12"/>
      <c r="N5" s="12"/>
      <c r="O5" s="12"/>
      <c r="P5" s="12"/>
      <c r="Q5" s="12"/>
      <c r="R5" s="13"/>
      <c r="S5" s="12"/>
      <c r="T5" s="12"/>
      <c r="U5" s="12"/>
    </row>
    <row r="6" spans="1:21" ht="17.399999999999999" x14ac:dyDescent="0.3">
      <c r="A6" s="12"/>
      <c r="B6" s="42"/>
      <c r="C6" s="17" t="s">
        <v>47</v>
      </c>
      <c r="D6" s="435" t="s">
        <v>356</v>
      </c>
      <c r="E6" s="436"/>
      <c r="F6" s="437"/>
      <c r="G6" s="121"/>
      <c r="H6" s="170"/>
      <c r="I6" s="12"/>
      <c r="J6" s="152"/>
      <c r="K6" s="2"/>
      <c r="L6" s="170"/>
      <c r="M6" s="12"/>
      <c r="N6" s="12"/>
      <c r="O6" s="12"/>
      <c r="P6" s="12"/>
      <c r="R6" s="13"/>
      <c r="S6" s="12"/>
      <c r="T6" s="12"/>
      <c r="U6" s="12"/>
    </row>
    <row r="7" spans="1:21" ht="17.399999999999999" x14ac:dyDescent="0.3">
      <c r="A7" s="12"/>
      <c r="B7" s="42"/>
      <c r="C7" s="14" t="s">
        <v>49</v>
      </c>
      <c r="D7" s="438"/>
      <c r="E7" s="439"/>
      <c r="F7" s="440"/>
      <c r="G7" s="120"/>
      <c r="H7" s="170"/>
      <c r="I7" s="12"/>
      <c r="J7" s="152"/>
      <c r="K7" s="2"/>
      <c r="L7" s="170"/>
      <c r="M7" s="12"/>
      <c r="N7" s="12"/>
      <c r="O7" s="12"/>
      <c r="P7" s="12"/>
      <c r="Q7" s="12"/>
      <c r="R7" s="13"/>
      <c r="S7" s="12"/>
      <c r="T7" s="12"/>
      <c r="U7" s="12"/>
    </row>
    <row r="8" spans="1:21" ht="17.399999999999999" x14ac:dyDescent="0.3">
      <c r="A8" s="12"/>
      <c r="B8" s="42"/>
      <c r="C8" s="14" t="s">
        <v>50</v>
      </c>
      <c r="D8" s="15" t="s">
        <v>25</v>
      </c>
      <c r="E8" s="15" t="s">
        <v>26</v>
      </c>
      <c r="F8" s="15" t="s">
        <v>27</v>
      </c>
      <c r="H8" s="170"/>
      <c r="I8" s="12"/>
      <c r="J8" s="152"/>
      <c r="K8" s="2"/>
      <c r="L8" s="170"/>
      <c r="M8" s="12"/>
      <c r="N8" s="12"/>
      <c r="O8" s="12"/>
      <c r="P8" s="12"/>
      <c r="Q8" s="12"/>
      <c r="R8" s="13"/>
      <c r="S8" s="12"/>
      <c r="T8" s="12"/>
      <c r="U8" s="12"/>
    </row>
    <row r="9" spans="1:21" ht="17.399999999999999" x14ac:dyDescent="0.3">
      <c r="A9" s="12"/>
      <c r="B9" s="42"/>
      <c r="C9" s="14" t="s">
        <v>51</v>
      </c>
      <c r="D9" s="16">
        <f>COUNTIF(H18:H107, "Pass*")</f>
        <v>12</v>
      </c>
      <c r="E9" s="16">
        <f>COUNTIF(L18:L107, "Pass*")</f>
        <v>16</v>
      </c>
      <c r="F9" s="16">
        <f>COUNTIF(P18:P107, "Pass*")</f>
        <v>0</v>
      </c>
      <c r="H9" s="170"/>
      <c r="I9" s="12"/>
      <c r="J9" s="152"/>
      <c r="K9" s="2"/>
      <c r="L9" s="170"/>
      <c r="M9" s="12"/>
      <c r="N9" s="12"/>
      <c r="O9" s="12"/>
      <c r="P9" s="12"/>
      <c r="Q9" s="12"/>
      <c r="R9" s="13"/>
      <c r="S9" s="12"/>
      <c r="T9" s="12"/>
      <c r="U9" s="12"/>
    </row>
    <row r="10" spans="1:21" ht="17.399999999999999" x14ac:dyDescent="0.3">
      <c r="A10" s="12"/>
      <c r="B10" s="42"/>
      <c r="C10" s="14" t="s">
        <v>52</v>
      </c>
      <c r="D10" s="16">
        <f>COUNTIF(H19:H108, "Fail")</f>
        <v>4</v>
      </c>
      <c r="E10" s="16">
        <f>COUNTIF(L19:L108, "Fail")</f>
        <v>0</v>
      </c>
      <c r="F10" s="16">
        <f>COUNTIF(P19:P108, "Fail")</f>
        <v>0</v>
      </c>
      <c r="H10" s="170"/>
      <c r="I10" s="12"/>
      <c r="J10" s="152"/>
      <c r="K10" s="2"/>
      <c r="L10" s="170"/>
      <c r="M10" s="12"/>
      <c r="N10" s="12"/>
      <c r="O10" s="12"/>
      <c r="P10" s="12"/>
      <c r="Q10" s="12"/>
      <c r="R10" s="13"/>
      <c r="S10" s="12"/>
      <c r="T10" s="12"/>
      <c r="U10" s="12"/>
    </row>
    <row r="11" spans="1:21" ht="17.399999999999999" x14ac:dyDescent="0.3">
      <c r="A11" s="12"/>
      <c r="B11" s="42"/>
      <c r="C11" s="14" t="s">
        <v>53</v>
      </c>
      <c r="D11" s="16">
        <f>COUNTIF(H19:H109, "Untest")</f>
        <v>0</v>
      </c>
      <c r="E11" s="16">
        <f>COUNTIF(L19:L109, "Untest")</f>
        <v>0</v>
      </c>
      <c r="F11" s="16">
        <f>COUNTIF(P19:P109, "Untest")</f>
        <v>0</v>
      </c>
      <c r="H11" s="170"/>
      <c r="I11" s="12"/>
      <c r="J11" s="152"/>
      <c r="K11" s="2"/>
      <c r="L11" s="170"/>
      <c r="M11" s="12"/>
      <c r="N11" s="12"/>
      <c r="O11" s="12"/>
      <c r="P11" s="12"/>
      <c r="Q11" s="12"/>
      <c r="R11" s="13"/>
      <c r="S11" s="12"/>
      <c r="T11" s="12"/>
      <c r="U11" s="12"/>
    </row>
    <row r="12" spans="1:21" ht="17.399999999999999" x14ac:dyDescent="0.3">
      <c r="A12" s="12"/>
      <c r="B12" s="42"/>
      <c r="C12" s="14" t="s">
        <v>54</v>
      </c>
      <c r="D12" s="16">
        <f>COUNTIF(H19:H110, "N/A")</f>
        <v>0</v>
      </c>
      <c r="E12" s="16">
        <f>COUNTIF(L19:L110, "N/A")</f>
        <v>0</v>
      </c>
      <c r="F12" s="16">
        <f>COUNTIF(P19:P110, "N/A")</f>
        <v>0</v>
      </c>
      <c r="H12" s="170"/>
      <c r="I12" s="12"/>
      <c r="J12" s="152"/>
      <c r="K12" s="2"/>
      <c r="L12" s="170"/>
      <c r="M12" s="12"/>
      <c r="N12" s="12"/>
      <c r="O12" s="12"/>
      <c r="P12" s="12"/>
      <c r="Q12" s="12"/>
      <c r="R12" s="13"/>
      <c r="S12" s="12"/>
      <c r="T12" s="12"/>
      <c r="U12" s="12"/>
    </row>
    <row r="13" spans="1:21" ht="17.399999999999999" x14ac:dyDescent="0.3">
      <c r="A13" s="12"/>
      <c r="B13" s="42"/>
      <c r="C13" s="17" t="s">
        <v>55</v>
      </c>
      <c r="D13" s="143">
        <f>COUNTIF(H19:H111, "Blocking")</f>
        <v>0</v>
      </c>
      <c r="E13" s="143">
        <f>COUNTIF(L19:L111, "Blocking")</f>
        <v>0</v>
      </c>
      <c r="F13" s="143">
        <f>COUNTIF(P19:P111, "Blocking")</f>
        <v>0</v>
      </c>
      <c r="H13" s="170"/>
      <c r="I13" s="12"/>
      <c r="J13" s="152"/>
      <c r="K13" s="2"/>
      <c r="L13" s="170"/>
      <c r="M13" s="12"/>
      <c r="N13" s="12"/>
      <c r="O13" s="12"/>
      <c r="P13" s="12"/>
      <c r="Q13" s="12"/>
      <c r="R13" s="13"/>
      <c r="S13" s="12"/>
      <c r="T13" s="12"/>
      <c r="U13" s="12"/>
    </row>
    <row r="14" spans="1:21" ht="17.399999999999999" x14ac:dyDescent="0.3">
      <c r="A14" s="12"/>
      <c r="B14" s="42"/>
      <c r="C14" s="17" t="s">
        <v>56</v>
      </c>
      <c r="D14" s="353">
        <f>COUNTA($F$19:$F$1206)</f>
        <v>16</v>
      </c>
      <c r="E14" s="353"/>
      <c r="F14" s="353"/>
      <c r="G14" s="144"/>
      <c r="H14" s="171"/>
      <c r="I14" s="18"/>
      <c r="J14" s="153"/>
      <c r="K14" s="19"/>
      <c r="L14" s="171"/>
      <c r="M14" s="18"/>
      <c r="N14" s="18"/>
      <c r="O14" s="18"/>
      <c r="P14" s="18"/>
      <c r="Q14" s="18"/>
      <c r="R14" s="20"/>
      <c r="S14" s="18"/>
      <c r="T14" s="18"/>
      <c r="U14" s="18"/>
    </row>
    <row r="15" spans="1:21" s="71" customFormat="1" ht="17.399999999999999" x14ac:dyDescent="0.25">
      <c r="A15" s="70"/>
      <c r="B15" s="391" t="s">
        <v>23</v>
      </c>
      <c r="C15" s="391" t="s">
        <v>57</v>
      </c>
      <c r="D15" s="392" t="s">
        <v>58</v>
      </c>
      <c r="E15" s="102"/>
      <c r="F15" s="392" t="s">
        <v>60</v>
      </c>
      <c r="G15" s="392" t="s">
        <v>61</v>
      </c>
      <c r="H15" s="419" t="s">
        <v>62</v>
      </c>
      <c r="I15" s="419"/>
      <c r="J15" s="419"/>
      <c r="K15" s="419"/>
      <c r="L15" s="419"/>
      <c r="M15" s="419"/>
      <c r="N15" s="419"/>
      <c r="O15" s="419"/>
      <c r="P15" s="419"/>
      <c r="Q15" s="419"/>
      <c r="R15" s="419"/>
      <c r="S15" s="419"/>
      <c r="T15" s="444"/>
      <c r="U15" s="445" t="s">
        <v>63</v>
      </c>
    </row>
    <row r="16" spans="1:21" s="71" customFormat="1" ht="17.399999999999999" x14ac:dyDescent="0.25">
      <c r="A16" s="70"/>
      <c r="B16" s="392"/>
      <c r="C16" s="392"/>
      <c r="D16" s="392"/>
      <c r="E16" s="102" t="s">
        <v>59</v>
      </c>
      <c r="F16" s="392"/>
      <c r="G16" s="392"/>
      <c r="H16" s="419" t="s">
        <v>25</v>
      </c>
      <c r="I16" s="419"/>
      <c r="J16" s="419"/>
      <c r="K16" s="444"/>
      <c r="L16" s="419" t="s">
        <v>26</v>
      </c>
      <c r="M16" s="419"/>
      <c r="N16" s="419"/>
      <c r="O16" s="444"/>
      <c r="P16" s="420" t="s">
        <v>27</v>
      </c>
      <c r="Q16" s="420"/>
      <c r="R16" s="420"/>
      <c r="S16" s="446"/>
      <c r="T16" s="421" t="s">
        <v>64</v>
      </c>
      <c r="U16" s="400"/>
    </row>
    <row r="17" spans="1:21" s="71" customFormat="1" ht="17.399999999999999" x14ac:dyDescent="0.25">
      <c r="A17" s="70"/>
      <c r="B17" s="393"/>
      <c r="C17" s="393"/>
      <c r="D17" s="393"/>
      <c r="E17" s="103"/>
      <c r="F17" s="393"/>
      <c r="G17" s="393"/>
      <c r="H17" s="22" t="s">
        <v>61</v>
      </c>
      <c r="I17" s="22" t="s">
        <v>65</v>
      </c>
      <c r="J17" s="21" t="s">
        <v>66</v>
      </c>
      <c r="K17" s="21" t="s">
        <v>63</v>
      </c>
      <c r="L17" s="22" t="s">
        <v>61</v>
      </c>
      <c r="M17" s="22" t="s">
        <v>65</v>
      </c>
      <c r="N17" s="21" t="s">
        <v>66</v>
      </c>
      <c r="O17" s="21" t="s">
        <v>63</v>
      </c>
      <c r="P17" s="22" t="s">
        <v>61</v>
      </c>
      <c r="Q17" s="22" t="s">
        <v>65</v>
      </c>
      <c r="R17" s="21" t="s">
        <v>66</v>
      </c>
      <c r="S17" s="21" t="s">
        <v>63</v>
      </c>
      <c r="T17" s="407"/>
      <c r="U17" s="401"/>
    </row>
    <row r="18" spans="1:21" ht="20.399999999999999" x14ac:dyDescent="0.25">
      <c r="A18" s="12"/>
      <c r="B18" s="84"/>
      <c r="C18" s="394" t="s">
        <v>357</v>
      </c>
      <c r="D18" s="395"/>
      <c r="E18" s="395"/>
      <c r="F18" s="395"/>
      <c r="G18" s="395"/>
      <c r="H18" s="395"/>
      <c r="I18" s="395"/>
      <c r="J18" s="395"/>
      <c r="K18" s="395"/>
      <c r="L18" s="395"/>
      <c r="M18" s="395"/>
      <c r="N18" s="395"/>
      <c r="O18" s="395"/>
      <c r="P18" s="395"/>
      <c r="Q18" s="395"/>
      <c r="R18" s="395"/>
      <c r="S18" s="395"/>
      <c r="T18" s="395"/>
      <c r="U18" s="395"/>
    </row>
    <row r="19" spans="1:21" ht="20.399999999999999" x14ac:dyDescent="0.25">
      <c r="A19" s="12"/>
      <c r="B19" s="66" t="str">
        <f>IF(AND(F19="")," ",$D$6&amp;"_"&amp;ROW()-20-COUNTBLANK($F$19:F19))</f>
        <v xml:space="preserve"> </v>
      </c>
      <c r="C19" s="409" t="s">
        <v>68</v>
      </c>
      <c r="D19" s="409"/>
      <c r="E19" s="409"/>
      <c r="F19" s="449"/>
      <c r="G19" s="123"/>
      <c r="H19" s="146"/>
      <c r="I19" s="41"/>
      <c r="J19" s="42"/>
      <c r="K19" s="40"/>
      <c r="L19" s="146"/>
      <c r="M19" s="42"/>
      <c r="N19" s="43"/>
      <c r="O19" s="43"/>
      <c r="P19" s="43"/>
      <c r="Q19" s="43"/>
      <c r="R19" s="40"/>
      <c r="S19" s="41"/>
      <c r="T19" s="42"/>
      <c r="U19" s="44"/>
    </row>
    <row r="20" spans="1:21" ht="103.5" customHeight="1" x14ac:dyDescent="0.25">
      <c r="A20" s="12"/>
      <c r="B20" s="66" t="str">
        <f>IF(AND(F20="")," ",$D$6&amp;"_"&amp;ROW()-19-COUNTBLANK($F$20:F20))</f>
        <v>&lt;Mục tiêu&gt;_1</v>
      </c>
      <c r="C20" s="372" t="s">
        <v>358</v>
      </c>
      <c r="D20" s="126" t="s">
        <v>359</v>
      </c>
      <c r="E20" s="91" t="s">
        <v>360</v>
      </c>
      <c r="F20" s="91" t="s">
        <v>361</v>
      </c>
      <c r="G20" s="139" t="s">
        <v>362</v>
      </c>
      <c r="H20" s="145" t="s">
        <v>28</v>
      </c>
      <c r="I20" s="45"/>
      <c r="J20" s="47" t="s">
        <v>74</v>
      </c>
      <c r="K20" s="46"/>
      <c r="L20" s="145" t="s">
        <v>28</v>
      </c>
      <c r="M20" s="47"/>
      <c r="N20" s="78" t="s">
        <v>75</v>
      </c>
      <c r="O20" s="48"/>
      <c r="P20" s="48"/>
      <c r="Q20" s="48"/>
      <c r="R20" s="46"/>
      <c r="S20" s="45"/>
      <c r="T20" s="47"/>
      <c r="U20" s="49"/>
    </row>
    <row r="21" spans="1:21" ht="103.5" customHeight="1" x14ac:dyDescent="0.25">
      <c r="A21" s="12"/>
      <c r="B21" s="66" t="str">
        <f>IF(AND(F21="")," ",$D$6&amp;"_"&amp;ROW()-19-COUNTBLANK($F$20:F21))</f>
        <v>&lt;Mục tiêu&gt;_2</v>
      </c>
      <c r="C21" s="500"/>
      <c r="D21" s="126" t="s">
        <v>363</v>
      </c>
      <c r="E21" s="301" t="s">
        <v>360</v>
      </c>
      <c r="F21" s="309" t="s">
        <v>361</v>
      </c>
      <c r="G21" s="139" t="s">
        <v>364</v>
      </c>
      <c r="H21" s="131" t="s">
        <v>28</v>
      </c>
      <c r="I21" s="138"/>
      <c r="J21" s="47" t="s">
        <v>74</v>
      </c>
      <c r="K21" s="46"/>
      <c r="L21" s="131" t="s">
        <v>28</v>
      </c>
      <c r="M21" s="47"/>
      <c r="N21" s="78" t="s">
        <v>75</v>
      </c>
      <c r="O21" s="48"/>
      <c r="P21" s="48"/>
      <c r="Q21" s="48"/>
      <c r="R21" s="46"/>
      <c r="S21" s="45"/>
      <c r="T21" s="47"/>
      <c r="U21" s="49"/>
    </row>
    <row r="22" spans="1:21" ht="255.6" customHeight="1" x14ac:dyDescent="0.25">
      <c r="A22" s="12"/>
      <c r="B22" s="66" t="str">
        <f>IF(AND(F22="")," ",$D$6&amp;"_"&amp;ROW()-19-COUNTBLANK($F$20:F22))</f>
        <v>&lt;Mục tiêu&gt;_3</v>
      </c>
      <c r="C22" s="213" t="s">
        <v>365</v>
      </c>
      <c r="D22" s="126" t="s">
        <v>366</v>
      </c>
      <c r="E22" s="301" t="s">
        <v>367</v>
      </c>
      <c r="F22" s="309" t="s">
        <v>368</v>
      </c>
      <c r="G22" s="139" t="s">
        <v>369</v>
      </c>
      <c r="H22" s="310" t="s">
        <v>29</v>
      </c>
      <c r="I22" s="138"/>
      <c r="J22" s="47" t="s">
        <v>74</v>
      </c>
      <c r="K22" s="46" t="s">
        <v>370</v>
      </c>
      <c r="L22" s="131" t="s">
        <v>28</v>
      </c>
      <c r="M22" s="47"/>
      <c r="N22" s="78" t="s">
        <v>75</v>
      </c>
      <c r="O22" s="48"/>
      <c r="P22" s="48"/>
      <c r="Q22" s="48"/>
      <c r="R22" s="46"/>
      <c r="S22" s="45"/>
      <c r="T22" s="47"/>
      <c r="U22" s="49"/>
    </row>
    <row r="23" spans="1:21" ht="271.5" customHeight="1" x14ac:dyDescent="0.25">
      <c r="A23" s="12"/>
      <c r="B23" s="66" t="str">
        <f>IF(AND(F23="")," ",$D$6&amp;"_"&amp;ROW()-19-COUNTBLANK($F$20:F23))</f>
        <v>&lt;Mục tiêu&gt;_4</v>
      </c>
      <c r="C23" s="213" t="s">
        <v>371</v>
      </c>
      <c r="D23" s="126" t="s">
        <v>363</v>
      </c>
      <c r="E23" s="301" t="s">
        <v>372</v>
      </c>
      <c r="F23" s="309" t="s">
        <v>373</v>
      </c>
      <c r="G23" s="139" t="s">
        <v>374</v>
      </c>
      <c r="H23" s="310" t="s">
        <v>29</v>
      </c>
      <c r="I23" s="138"/>
      <c r="J23" s="47" t="s">
        <v>74</v>
      </c>
      <c r="K23" s="46" t="s">
        <v>370</v>
      </c>
      <c r="L23" s="131" t="s">
        <v>28</v>
      </c>
      <c r="M23" s="47"/>
      <c r="N23" s="78" t="s">
        <v>75</v>
      </c>
      <c r="O23" s="48"/>
      <c r="P23" s="48"/>
      <c r="Q23" s="48"/>
      <c r="R23" s="46"/>
      <c r="S23" s="45"/>
      <c r="T23" s="47"/>
      <c r="U23" s="49"/>
    </row>
    <row r="24" spans="1:21" s="71" customFormat="1" ht="20.399999999999999" x14ac:dyDescent="0.25">
      <c r="A24" s="70"/>
      <c r="B24" s="66" t="str">
        <f>IF(AND(F24="")," ",$D$6&amp;"_"&amp;ROW()-19-COUNTBLANK($F$20:F24))</f>
        <v xml:space="preserve"> </v>
      </c>
      <c r="C24" s="497" t="s">
        <v>375</v>
      </c>
      <c r="D24" s="498"/>
      <c r="E24" s="498"/>
      <c r="F24" s="498"/>
      <c r="G24" s="499"/>
      <c r="H24" s="311"/>
      <c r="I24" s="174"/>
      <c r="J24" s="47"/>
      <c r="K24" s="176"/>
      <c r="L24" s="311"/>
      <c r="M24" s="175"/>
      <c r="N24" s="78"/>
      <c r="O24" s="175"/>
      <c r="P24" s="175"/>
      <c r="Q24" s="175"/>
      <c r="R24" s="176"/>
      <c r="S24" s="175"/>
      <c r="T24" s="175"/>
      <c r="U24" s="175"/>
    </row>
    <row r="25" spans="1:21" ht="20.399999999999999" x14ac:dyDescent="0.25">
      <c r="A25" s="12"/>
      <c r="B25" s="66" t="str">
        <f>IF(AND(F25="")," ",$D$6&amp;"_"&amp;ROW()-19-COUNTBLANK($F$20:F25))</f>
        <v xml:space="preserve"> </v>
      </c>
      <c r="C25" s="354" t="s">
        <v>376</v>
      </c>
      <c r="D25" s="355"/>
      <c r="E25" s="355"/>
      <c r="F25" s="355"/>
      <c r="G25" s="356"/>
      <c r="H25" s="146"/>
      <c r="I25" s="41"/>
      <c r="J25" s="47"/>
      <c r="K25" s="40"/>
      <c r="L25" s="146"/>
      <c r="M25" s="42"/>
      <c r="N25" s="78"/>
      <c r="O25" s="43"/>
      <c r="P25" s="43"/>
      <c r="Q25" s="43"/>
      <c r="R25" s="40"/>
      <c r="S25" s="41"/>
      <c r="T25" s="42"/>
      <c r="U25" s="44"/>
    </row>
    <row r="26" spans="1:21" s="151" customFormat="1" ht="103.5" customHeight="1" x14ac:dyDescent="0.25">
      <c r="A26" s="149"/>
      <c r="B26" s="66" t="str">
        <f>IF(AND(F26="")," ",$D$6&amp;"_"&amp;ROW()-19-COUNTBLANK($F$20:F26))</f>
        <v>&lt;Mục tiêu&gt;_5</v>
      </c>
      <c r="C26" s="494" t="s">
        <v>365</v>
      </c>
      <c r="D26" s="491" t="s">
        <v>293</v>
      </c>
      <c r="E26" s="312" t="s">
        <v>377</v>
      </c>
      <c r="F26" s="307" t="s">
        <v>378</v>
      </c>
      <c r="G26" s="312" t="s">
        <v>379</v>
      </c>
      <c r="H26" s="146" t="s">
        <v>28</v>
      </c>
      <c r="I26" s="80"/>
      <c r="J26" s="47" t="s">
        <v>74</v>
      </c>
      <c r="K26" s="178"/>
      <c r="L26" s="146" t="s">
        <v>28</v>
      </c>
      <c r="M26" s="80"/>
      <c r="N26" s="78" t="s">
        <v>75</v>
      </c>
      <c r="O26" s="179"/>
      <c r="P26" s="179"/>
      <c r="Q26" s="179"/>
      <c r="R26" s="178"/>
      <c r="S26" s="80"/>
      <c r="T26" s="80"/>
      <c r="U26" s="179"/>
    </row>
    <row r="27" spans="1:21" s="151" customFormat="1" ht="103.5" customHeight="1" x14ac:dyDescent="0.25">
      <c r="A27" s="149"/>
      <c r="B27" s="66" t="str">
        <f>IF(AND(F27="")," ",$D$6&amp;"_"&amp;ROW()-19-COUNTBLANK($F$20:F27))</f>
        <v>&lt;Mục tiêu&gt;_6</v>
      </c>
      <c r="C27" s="495"/>
      <c r="D27" s="492"/>
      <c r="E27" s="188" t="s">
        <v>380</v>
      </c>
      <c r="F27" s="316" t="s">
        <v>381</v>
      </c>
      <c r="G27" s="177" t="s">
        <v>382</v>
      </c>
      <c r="H27" s="131" t="s">
        <v>28</v>
      </c>
      <c r="I27" s="161"/>
      <c r="J27" s="47" t="s">
        <v>74</v>
      </c>
      <c r="K27" s="315"/>
      <c r="L27" s="131" t="s">
        <v>28</v>
      </c>
      <c r="M27" s="52"/>
      <c r="N27" s="78" t="s">
        <v>75</v>
      </c>
      <c r="O27" s="250"/>
      <c r="P27" s="250"/>
      <c r="Q27" s="250"/>
      <c r="R27" s="207"/>
      <c r="S27" s="52"/>
      <c r="T27" s="52"/>
      <c r="U27" s="250"/>
    </row>
    <row r="28" spans="1:21" s="151" customFormat="1" ht="103.5" customHeight="1" x14ac:dyDescent="0.25">
      <c r="A28" s="149"/>
      <c r="B28" s="66" t="str">
        <f>IF(AND(F28="")," ",$D$6&amp;"_"&amp;ROW()-19-COUNTBLANK($F$20:F28))</f>
        <v>&lt;Mục tiêu&gt;_7</v>
      </c>
      <c r="C28" s="495"/>
      <c r="D28" s="492"/>
      <c r="E28" s="188" t="s">
        <v>383</v>
      </c>
      <c r="F28" s="307" t="s">
        <v>381</v>
      </c>
      <c r="G28" s="307" t="s">
        <v>384</v>
      </c>
      <c r="H28" s="146" t="s">
        <v>28</v>
      </c>
      <c r="I28" s="80"/>
      <c r="J28" s="47" t="s">
        <v>74</v>
      </c>
      <c r="K28" s="178"/>
      <c r="L28" s="146" t="s">
        <v>28</v>
      </c>
      <c r="M28" s="80"/>
      <c r="N28" s="78" t="s">
        <v>75</v>
      </c>
      <c r="O28" s="179"/>
      <c r="P28" s="179"/>
      <c r="Q28" s="179"/>
      <c r="R28" s="178"/>
      <c r="S28" s="80"/>
      <c r="T28" s="80"/>
      <c r="U28" s="179"/>
    </row>
    <row r="29" spans="1:21" s="151" customFormat="1" ht="103.5" customHeight="1" x14ac:dyDescent="0.25">
      <c r="A29" s="149"/>
      <c r="B29" s="66" t="str">
        <f>IF(AND(F29="")," ",$D$6&amp;"_"&amp;ROW()-19-COUNTBLANK($F$20:F29))</f>
        <v>&lt;Mục tiêu&gt;_8</v>
      </c>
      <c r="C29" s="496"/>
      <c r="D29" s="493"/>
      <c r="E29" s="177" t="s">
        <v>385</v>
      </c>
      <c r="F29" s="177" t="s">
        <v>386</v>
      </c>
      <c r="G29" s="177" t="s">
        <v>387</v>
      </c>
      <c r="H29" s="200" t="s">
        <v>29</v>
      </c>
      <c r="I29" s="80"/>
      <c r="J29" s="47" t="s">
        <v>74</v>
      </c>
      <c r="K29" s="178"/>
      <c r="L29" s="131" t="s">
        <v>28</v>
      </c>
      <c r="M29" s="80"/>
      <c r="N29" s="78" t="s">
        <v>75</v>
      </c>
      <c r="O29" s="179"/>
      <c r="P29" s="179"/>
      <c r="Q29" s="179"/>
      <c r="R29" s="178"/>
      <c r="S29" s="80"/>
      <c r="T29" s="80"/>
      <c r="U29" s="179"/>
    </row>
    <row r="30" spans="1:21" s="151" customFormat="1" ht="103.5" customHeight="1" x14ac:dyDescent="0.25">
      <c r="A30" s="149"/>
      <c r="B30" s="66" t="str">
        <f>IF(AND(F30="")," ",$D$6&amp;"_"&amp;ROW()-19-COUNTBLANK($F$20:F30))</f>
        <v>&lt;Mục tiêu&gt;_9</v>
      </c>
      <c r="C30" s="494" t="s">
        <v>388</v>
      </c>
      <c r="D30" s="491" t="s">
        <v>293</v>
      </c>
      <c r="E30" s="312" t="s">
        <v>377</v>
      </c>
      <c r="F30" s="307" t="s">
        <v>378</v>
      </c>
      <c r="G30" s="312" t="s">
        <v>379</v>
      </c>
      <c r="H30" s="146" t="s">
        <v>28</v>
      </c>
      <c r="I30" s="80"/>
      <c r="J30" s="47" t="s">
        <v>74</v>
      </c>
      <c r="K30" s="178"/>
      <c r="L30" s="146" t="s">
        <v>28</v>
      </c>
      <c r="M30" s="80"/>
      <c r="N30" s="78" t="s">
        <v>75</v>
      </c>
      <c r="O30" s="179"/>
      <c r="P30" s="179"/>
      <c r="Q30" s="179"/>
      <c r="R30" s="178"/>
      <c r="S30" s="80"/>
      <c r="T30" s="80"/>
      <c r="U30" s="179"/>
    </row>
    <row r="31" spans="1:21" s="151" customFormat="1" ht="103.5" customHeight="1" x14ac:dyDescent="0.25">
      <c r="A31" s="149"/>
      <c r="B31" s="66" t="str">
        <f>IF(AND(F31="")," ",$D$6&amp;"_"&amp;ROW()-19-COUNTBLANK($F$20:F31))</f>
        <v>&lt;Mục tiêu&gt;_10</v>
      </c>
      <c r="C31" s="495"/>
      <c r="D31" s="492"/>
      <c r="E31" s="188" t="s">
        <v>380</v>
      </c>
      <c r="F31" s="316" t="s">
        <v>381</v>
      </c>
      <c r="G31" s="177" t="s">
        <v>382</v>
      </c>
      <c r="H31" s="131" t="s">
        <v>28</v>
      </c>
      <c r="I31" s="80"/>
      <c r="J31" s="47" t="s">
        <v>74</v>
      </c>
      <c r="K31" s="178"/>
      <c r="L31" s="131" t="s">
        <v>28</v>
      </c>
      <c r="M31" s="80"/>
      <c r="N31" s="78" t="s">
        <v>75</v>
      </c>
      <c r="O31" s="179"/>
      <c r="P31" s="179"/>
      <c r="Q31" s="179"/>
      <c r="R31" s="178"/>
      <c r="S31" s="80"/>
      <c r="T31" s="80"/>
      <c r="U31" s="179"/>
    </row>
    <row r="32" spans="1:21" s="151" customFormat="1" ht="103.5" customHeight="1" x14ac:dyDescent="0.25">
      <c r="A32" s="149"/>
      <c r="B32" s="66" t="str">
        <f>IF(AND(F32="")," ",$D$6&amp;"_"&amp;ROW()-19-COUNTBLANK($F$20:F32))</f>
        <v>&lt;Mục tiêu&gt;_11</v>
      </c>
      <c r="C32" s="495"/>
      <c r="D32" s="492"/>
      <c r="E32" s="188" t="s">
        <v>383</v>
      </c>
      <c r="F32" s="307" t="s">
        <v>381</v>
      </c>
      <c r="G32" s="307" t="s">
        <v>384</v>
      </c>
      <c r="H32" s="146" t="s">
        <v>28</v>
      </c>
      <c r="I32" s="80"/>
      <c r="J32" s="47" t="s">
        <v>74</v>
      </c>
      <c r="K32" s="178"/>
      <c r="L32" s="146" t="s">
        <v>28</v>
      </c>
      <c r="M32" s="80"/>
      <c r="N32" s="78" t="s">
        <v>75</v>
      </c>
      <c r="O32" s="179"/>
      <c r="P32" s="179"/>
      <c r="Q32" s="179"/>
      <c r="R32" s="178"/>
      <c r="S32" s="80"/>
      <c r="T32" s="80"/>
      <c r="U32" s="179"/>
    </row>
    <row r="33" spans="1:21" s="151" customFormat="1" ht="103.5" customHeight="1" x14ac:dyDescent="0.25">
      <c r="A33" s="149"/>
      <c r="B33" s="66" t="str">
        <f>IF(AND(F33="")," ",$D$6&amp;"_"&amp;ROW()-19-COUNTBLANK($F$20:F33))</f>
        <v>&lt;Mục tiêu&gt;_12</v>
      </c>
      <c r="C33" s="496"/>
      <c r="D33" s="493"/>
      <c r="E33" s="177" t="s">
        <v>385</v>
      </c>
      <c r="F33" s="177" t="s">
        <v>386</v>
      </c>
      <c r="G33" s="177" t="s">
        <v>387</v>
      </c>
      <c r="H33" s="200" t="s">
        <v>29</v>
      </c>
      <c r="I33" s="80"/>
      <c r="J33" s="47" t="s">
        <v>74</v>
      </c>
      <c r="K33" s="178"/>
      <c r="L33" s="146" t="s">
        <v>28</v>
      </c>
      <c r="M33" s="80"/>
      <c r="N33" s="78" t="s">
        <v>75</v>
      </c>
      <c r="O33" s="179"/>
      <c r="P33" s="179"/>
      <c r="Q33" s="179"/>
      <c r="R33" s="178"/>
      <c r="S33" s="80"/>
      <c r="T33" s="80"/>
      <c r="U33" s="179"/>
    </row>
    <row r="34" spans="1:21" s="71" customFormat="1" ht="20.399999999999999" x14ac:dyDescent="0.25">
      <c r="A34" s="70"/>
      <c r="B34" s="66" t="str">
        <f>IF(AND(F34="")," ",$D$6&amp;"_"&amp;ROW()-19-COUNTBLANK($F$20:F34))</f>
        <v xml:space="preserve"> </v>
      </c>
      <c r="C34" s="497" t="s">
        <v>389</v>
      </c>
      <c r="D34" s="498"/>
      <c r="E34" s="498"/>
      <c r="F34" s="498"/>
      <c r="G34" s="499"/>
      <c r="H34" s="311"/>
      <c r="I34" s="174"/>
      <c r="J34" s="47"/>
      <c r="K34" s="176"/>
      <c r="L34" s="311"/>
      <c r="M34" s="175"/>
      <c r="N34" s="78"/>
      <c r="O34" s="175"/>
      <c r="P34" s="175"/>
      <c r="Q34" s="175"/>
      <c r="R34" s="176"/>
      <c r="S34" s="175"/>
      <c r="T34" s="175"/>
      <c r="U34" s="175"/>
    </row>
    <row r="35" spans="1:21" s="151" customFormat="1" ht="103.5" customHeight="1" x14ac:dyDescent="0.25">
      <c r="A35" s="149"/>
      <c r="B35" s="66" t="str">
        <f>IF(AND(F35="")," ",$D$6&amp;"_"&amp;ROW()-19-COUNTBLANK($F$20:F35))</f>
        <v>&lt;Mục tiêu&gt;_13</v>
      </c>
      <c r="C35" s="494" t="s">
        <v>365</v>
      </c>
      <c r="D35" s="314" t="s">
        <v>316</v>
      </c>
      <c r="E35" s="314" t="s">
        <v>390</v>
      </c>
      <c r="F35" s="177" t="s">
        <v>391</v>
      </c>
      <c r="G35" s="177" t="s">
        <v>392</v>
      </c>
      <c r="H35" s="146" t="s">
        <v>28</v>
      </c>
      <c r="I35" s="80"/>
      <c r="J35" s="47" t="s">
        <v>74</v>
      </c>
      <c r="K35" s="178"/>
      <c r="L35" s="146" t="s">
        <v>28</v>
      </c>
      <c r="M35" s="80"/>
      <c r="N35" s="78" t="s">
        <v>75</v>
      </c>
      <c r="O35" s="179"/>
      <c r="P35" s="179"/>
      <c r="Q35" s="179"/>
      <c r="R35" s="178"/>
      <c r="S35" s="80"/>
      <c r="T35" s="80"/>
      <c r="U35" s="179"/>
    </row>
    <row r="36" spans="1:21" s="151" customFormat="1" ht="103.5" customHeight="1" x14ac:dyDescent="0.25">
      <c r="A36" s="149"/>
      <c r="B36" s="66" t="str">
        <f>IF(AND(F36="")," ",$D$6&amp;"_"&amp;ROW()-19-COUNTBLANK($F$20:F36))</f>
        <v>&lt;Mục tiêu&gt;_14</v>
      </c>
      <c r="C36" s="496"/>
      <c r="D36" s="314" t="s">
        <v>393</v>
      </c>
      <c r="E36" s="314" t="s">
        <v>394</v>
      </c>
      <c r="F36" s="177" t="s">
        <v>395</v>
      </c>
      <c r="G36" s="177" t="s">
        <v>396</v>
      </c>
      <c r="H36" s="146" t="s">
        <v>28</v>
      </c>
      <c r="I36" s="80"/>
      <c r="J36" s="47" t="s">
        <v>74</v>
      </c>
      <c r="K36" s="178"/>
      <c r="L36" s="146" t="s">
        <v>28</v>
      </c>
      <c r="M36" s="80"/>
      <c r="N36" s="78" t="s">
        <v>75</v>
      </c>
      <c r="O36" s="179"/>
      <c r="P36" s="179"/>
      <c r="Q36" s="179"/>
      <c r="R36" s="178"/>
      <c r="S36" s="80"/>
      <c r="T36" s="80"/>
      <c r="U36" s="179"/>
    </row>
    <row r="37" spans="1:21" s="151" customFormat="1" ht="103.5" customHeight="1" x14ac:dyDescent="0.25">
      <c r="A37" s="149"/>
      <c r="B37" s="66" t="str">
        <f>IF(AND(F37="")," ",$D$6&amp;"_"&amp;ROW()-19-COUNTBLANK($F$20:F37))</f>
        <v>&lt;Mục tiêu&gt;_15</v>
      </c>
      <c r="C37" s="313" t="s">
        <v>397</v>
      </c>
      <c r="D37" s="314" t="s">
        <v>398</v>
      </c>
      <c r="E37" s="177" t="s">
        <v>399</v>
      </c>
      <c r="F37" s="177" t="s">
        <v>400</v>
      </c>
      <c r="G37" s="177" t="s">
        <v>401</v>
      </c>
      <c r="H37" s="146" t="s">
        <v>28</v>
      </c>
      <c r="I37" s="80"/>
      <c r="J37" s="47" t="s">
        <v>74</v>
      </c>
      <c r="K37" s="178"/>
      <c r="L37" s="146" t="s">
        <v>28</v>
      </c>
      <c r="M37" s="80"/>
      <c r="N37" s="78" t="s">
        <v>75</v>
      </c>
      <c r="O37" s="179"/>
      <c r="P37" s="179"/>
      <c r="Q37" s="179"/>
      <c r="R37" s="178"/>
      <c r="S37" s="80"/>
      <c r="T37" s="80"/>
      <c r="U37" s="179"/>
    </row>
    <row r="38" spans="1:21" s="151" customFormat="1" ht="103.5" customHeight="1" x14ac:dyDescent="0.25">
      <c r="A38" s="149"/>
      <c r="B38" s="66" t="str">
        <f>IF(AND(F38="")," ",$D$6&amp;"_"&amp;ROW()-19-COUNTBLANK($F$20:F38))</f>
        <v>&lt;Mục tiêu&gt;_16</v>
      </c>
      <c r="C38" s="313" t="s">
        <v>388</v>
      </c>
      <c r="D38" s="314" t="s">
        <v>393</v>
      </c>
      <c r="E38" s="314" t="s">
        <v>394</v>
      </c>
      <c r="F38" s="177" t="s">
        <v>395</v>
      </c>
      <c r="G38" s="177" t="s">
        <v>402</v>
      </c>
      <c r="H38" s="146" t="s">
        <v>28</v>
      </c>
      <c r="I38" s="189"/>
      <c r="J38" s="80" t="s">
        <v>74</v>
      </c>
      <c r="K38" s="190"/>
      <c r="L38" s="146" t="s">
        <v>28</v>
      </c>
      <c r="M38" s="80"/>
      <c r="N38" s="78" t="s">
        <v>75</v>
      </c>
      <c r="O38" s="179"/>
      <c r="P38" s="179"/>
      <c r="Q38" s="179"/>
      <c r="R38" s="178"/>
      <c r="S38" s="80"/>
      <c r="T38" s="80"/>
      <c r="U38" s="179"/>
    </row>
  </sheetData>
  <mergeCells count="26">
    <mergeCell ref="B15:B17"/>
    <mergeCell ref="C15:C17"/>
    <mergeCell ref="D15:D17"/>
    <mergeCell ref="F15:F17"/>
    <mergeCell ref="C18:U18"/>
    <mergeCell ref="G15:G17"/>
    <mergeCell ref="H15:T15"/>
    <mergeCell ref="U15:U17"/>
    <mergeCell ref="H16:K16"/>
    <mergeCell ref="L16:O16"/>
    <mergeCell ref="P16:S16"/>
    <mergeCell ref="T16:T17"/>
    <mergeCell ref="D30:D33"/>
    <mergeCell ref="C30:C33"/>
    <mergeCell ref="C34:G34"/>
    <mergeCell ref="C35:C36"/>
    <mergeCell ref="D5:F5"/>
    <mergeCell ref="D6:F6"/>
    <mergeCell ref="D7:F7"/>
    <mergeCell ref="D14:F14"/>
    <mergeCell ref="C19:F19"/>
    <mergeCell ref="C24:G24"/>
    <mergeCell ref="C20:C21"/>
    <mergeCell ref="C25:G25"/>
    <mergeCell ref="C26:C29"/>
    <mergeCell ref="D26:D29"/>
  </mergeCells>
  <dataValidations count="1">
    <dataValidation type="list" showInputMessage="1" showErrorMessage="1" sqref="H19:H23 H25:H33 H35:H38 L35:L38 L19:L23 L25:L33" xr:uid="{03AC69B8-8E0C-46F8-8D8B-CC926BC4CEF3}">
      <formula1>#REF!</formula1>
    </dataValidation>
  </dataValidations>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1A471-17B8-4904-8577-A0341AF259B5}">
  <sheetPr codeName="Sheet8">
    <tabColor theme="5" tint="0.39997558519241921"/>
  </sheetPr>
  <dimension ref="A1:U29"/>
  <sheetViews>
    <sheetView showGridLines="0" zoomScale="70" zoomScaleNormal="70" workbookViewId="0"/>
  </sheetViews>
  <sheetFormatPr defaultColWidth="8.796875" defaultRowHeight="15" x14ac:dyDescent="0.25"/>
  <cols>
    <col min="2" max="2" width="17.69921875" style="67" customWidth="1"/>
    <col min="3" max="3" width="31.5" customWidth="1"/>
    <col min="4" max="5" width="30.69921875" customWidth="1"/>
    <col min="6" max="6" width="28" style="61" customWidth="1"/>
    <col min="7" max="7" width="28.796875" customWidth="1"/>
    <col min="8" max="8" width="18.796875" style="156" customWidth="1"/>
    <col min="9" max="9" width="18.796875" customWidth="1"/>
    <col min="10" max="10" width="18.796875" style="156" customWidth="1"/>
    <col min="11" max="11" width="12.69921875" style="23" customWidth="1"/>
    <col min="12" max="12" width="18.796875" style="156" customWidth="1"/>
    <col min="13" max="13" width="18.796875" customWidth="1"/>
    <col min="14" max="17" width="27.5" customWidth="1"/>
    <col min="18" max="18" width="12.5" style="23" customWidth="1"/>
    <col min="19" max="19" width="27.19921875" customWidth="1"/>
    <col min="20" max="21" width="22.796875" customWidth="1"/>
  </cols>
  <sheetData>
    <row r="1" spans="1:21" ht="15.6" x14ac:dyDescent="0.3">
      <c r="A1" s="12"/>
      <c r="B1" s="63"/>
      <c r="C1" s="12"/>
      <c r="D1" s="12"/>
      <c r="E1" s="12"/>
      <c r="F1" s="59"/>
      <c r="G1" s="12"/>
      <c r="H1" s="152"/>
      <c r="I1" s="12"/>
      <c r="J1" s="152"/>
      <c r="K1" s="2"/>
      <c r="L1" s="152"/>
      <c r="M1" s="12"/>
      <c r="N1" s="12"/>
      <c r="O1" s="12"/>
      <c r="P1" s="12"/>
      <c r="Q1" s="12"/>
      <c r="R1" s="13"/>
      <c r="S1" s="12"/>
      <c r="T1" s="12"/>
      <c r="U1" s="12"/>
    </row>
    <row r="2" spans="1:21" ht="15.6" x14ac:dyDescent="0.3">
      <c r="A2" s="12"/>
      <c r="B2" s="63"/>
      <c r="C2" s="12"/>
      <c r="D2" s="12"/>
      <c r="E2" s="12"/>
      <c r="F2" s="59"/>
      <c r="G2" s="12"/>
      <c r="H2" s="152"/>
      <c r="I2" s="12"/>
      <c r="J2" s="152"/>
      <c r="K2" s="2"/>
      <c r="L2" s="152"/>
      <c r="M2" s="12"/>
      <c r="N2" s="12"/>
      <c r="O2" s="12"/>
      <c r="P2" s="12"/>
      <c r="Q2" s="12"/>
      <c r="R2" s="13"/>
      <c r="S2" s="12"/>
      <c r="T2" s="12"/>
      <c r="U2" s="12"/>
    </row>
    <row r="3" spans="1:21" ht="15.6" x14ac:dyDescent="0.3">
      <c r="A3" s="12"/>
      <c r="B3" s="63"/>
      <c r="C3" s="12"/>
      <c r="D3" s="12"/>
      <c r="E3" s="12"/>
      <c r="F3" s="59"/>
      <c r="G3" s="12"/>
      <c r="H3" s="152"/>
      <c r="I3" s="12"/>
      <c r="J3" s="152"/>
      <c r="K3" s="2"/>
      <c r="L3" s="152"/>
      <c r="M3" s="12"/>
      <c r="N3" s="12"/>
      <c r="O3" s="12"/>
      <c r="P3" s="12"/>
      <c r="Q3" s="12"/>
      <c r="R3" s="13"/>
      <c r="S3" s="12"/>
      <c r="T3" s="12"/>
      <c r="U3" s="12"/>
    </row>
    <row r="4" spans="1:21" ht="15.6" x14ac:dyDescent="0.3">
      <c r="A4" s="12"/>
      <c r="B4" s="63"/>
      <c r="C4" s="12"/>
      <c r="D4" s="12"/>
      <c r="E4" s="12"/>
      <c r="F4" s="59"/>
      <c r="G4" s="12"/>
      <c r="H4" s="152"/>
      <c r="I4" s="12"/>
      <c r="J4" s="152"/>
      <c r="K4" s="2"/>
      <c r="L4" s="152"/>
      <c r="M4" s="12"/>
      <c r="N4" s="12"/>
      <c r="O4" s="12"/>
      <c r="P4" s="12"/>
      <c r="Q4" s="12"/>
      <c r="R4" s="13"/>
      <c r="S4" s="12"/>
      <c r="T4" s="12"/>
      <c r="U4" s="12"/>
    </row>
    <row r="5" spans="1:21" ht="17.399999999999999" x14ac:dyDescent="0.3">
      <c r="A5" s="12"/>
      <c r="B5" s="42"/>
      <c r="C5" s="14" t="s">
        <v>24</v>
      </c>
      <c r="D5" s="432" t="s">
        <v>403</v>
      </c>
      <c r="E5" s="433"/>
      <c r="F5" s="434"/>
      <c r="G5" s="120"/>
      <c r="H5" s="152"/>
      <c r="I5" s="12"/>
      <c r="J5" s="152"/>
      <c r="K5" s="2"/>
      <c r="L5" s="152"/>
      <c r="M5" s="12"/>
      <c r="N5" s="12"/>
      <c r="O5" s="12"/>
      <c r="P5" s="12"/>
      <c r="Q5" s="12"/>
      <c r="R5" s="13"/>
      <c r="S5" s="12"/>
      <c r="T5" s="12"/>
      <c r="U5" s="12"/>
    </row>
    <row r="6" spans="1:21" ht="17.399999999999999" x14ac:dyDescent="0.3">
      <c r="A6" s="12"/>
      <c r="B6" s="42"/>
      <c r="C6" s="17" t="s">
        <v>47</v>
      </c>
      <c r="D6" s="435" t="s">
        <v>404</v>
      </c>
      <c r="E6" s="436"/>
      <c r="F6" s="437"/>
      <c r="G6" s="121"/>
      <c r="H6" s="152"/>
      <c r="I6" s="12"/>
      <c r="J6" s="152"/>
      <c r="K6" s="2"/>
      <c r="L6" s="152"/>
      <c r="M6" s="12"/>
      <c r="N6" s="12"/>
      <c r="O6" s="12"/>
      <c r="P6" s="12"/>
      <c r="R6" s="13"/>
      <c r="S6" s="12"/>
      <c r="T6" s="12"/>
      <c r="U6" s="12"/>
    </row>
    <row r="7" spans="1:21" ht="17.399999999999999" x14ac:dyDescent="0.3">
      <c r="A7" s="12"/>
      <c r="B7" s="42"/>
      <c r="C7" s="14" t="s">
        <v>49</v>
      </c>
      <c r="D7" s="438"/>
      <c r="E7" s="439"/>
      <c r="F7" s="440"/>
      <c r="G7" s="120"/>
      <c r="H7" s="152"/>
      <c r="I7" s="12"/>
      <c r="J7" s="152"/>
      <c r="K7" s="2"/>
      <c r="L7" s="152"/>
      <c r="M7" s="12"/>
      <c r="N7" s="12"/>
      <c r="O7" s="12"/>
      <c r="P7" s="12"/>
      <c r="Q7" s="12"/>
      <c r="R7" s="13"/>
      <c r="S7" s="12"/>
      <c r="T7" s="12"/>
      <c r="U7" s="12"/>
    </row>
    <row r="8" spans="1:21" ht="17.399999999999999" x14ac:dyDescent="0.3">
      <c r="A8" s="12"/>
      <c r="B8" s="42"/>
      <c r="C8" s="14" t="s">
        <v>50</v>
      </c>
      <c r="D8" s="15" t="s">
        <v>25</v>
      </c>
      <c r="E8" s="15" t="s">
        <v>26</v>
      </c>
      <c r="F8" s="15" t="s">
        <v>27</v>
      </c>
      <c r="H8" s="152"/>
      <c r="I8" s="12"/>
      <c r="J8" s="152"/>
      <c r="K8" s="2"/>
      <c r="L8" s="152"/>
      <c r="M8" s="12"/>
      <c r="N8" s="12"/>
      <c r="O8" s="12"/>
      <c r="P8" s="12"/>
      <c r="Q8" s="12"/>
      <c r="R8" s="13"/>
      <c r="S8" s="12"/>
      <c r="T8" s="12"/>
      <c r="U8" s="12"/>
    </row>
    <row r="9" spans="1:21" ht="17.399999999999999" x14ac:dyDescent="0.3">
      <c r="A9" s="12"/>
      <c r="B9" s="42"/>
      <c r="C9" s="14" t="s">
        <v>51</v>
      </c>
      <c r="D9" s="16">
        <f>COUNTIF(H18:H107, "Pass*")</f>
        <v>7</v>
      </c>
      <c r="E9" s="16">
        <f>COUNTIF(L18:L107, "Pass*")</f>
        <v>8</v>
      </c>
      <c r="F9" s="16">
        <f>COUNTIF(P18:P107, "Pass*")</f>
        <v>0</v>
      </c>
      <c r="H9" s="152"/>
      <c r="I9" s="12"/>
      <c r="J9" s="152"/>
      <c r="K9" s="2"/>
      <c r="L9" s="152"/>
      <c r="M9" s="12"/>
      <c r="N9" s="12"/>
      <c r="O9" s="12"/>
      <c r="P9" s="12"/>
      <c r="Q9" s="12"/>
      <c r="R9" s="13"/>
      <c r="S9" s="12"/>
      <c r="T9" s="12"/>
      <c r="U9" s="12"/>
    </row>
    <row r="10" spans="1:21" ht="17.399999999999999" x14ac:dyDescent="0.3">
      <c r="A10" s="12"/>
      <c r="B10" s="42"/>
      <c r="C10" s="14" t="s">
        <v>52</v>
      </c>
      <c r="D10" s="16">
        <f>COUNTIF(H19:H108, "Fail")</f>
        <v>1</v>
      </c>
      <c r="E10" s="16">
        <f>COUNTIF(L19:L108, "Fail")</f>
        <v>0</v>
      </c>
      <c r="F10" s="16">
        <f>COUNTIF(P19:P108, "Fail")</f>
        <v>0</v>
      </c>
      <c r="H10" s="152"/>
      <c r="I10" s="12"/>
      <c r="J10" s="152"/>
      <c r="K10" s="2"/>
      <c r="L10" s="152"/>
      <c r="M10" s="12"/>
      <c r="N10" s="12"/>
      <c r="O10" s="12"/>
      <c r="P10" s="12"/>
      <c r="Q10" s="12"/>
      <c r="R10" s="13"/>
      <c r="S10" s="12"/>
      <c r="T10" s="12"/>
      <c r="U10" s="12"/>
    </row>
    <row r="11" spans="1:21" ht="17.399999999999999" x14ac:dyDescent="0.3">
      <c r="A11" s="12"/>
      <c r="B11" s="42"/>
      <c r="C11" s="14" t="s">
        <v>53</v>
      </c>
      <c r="D11" s="16">
        <f>COUNTIF(H19:H109, "Untest")</f>
        <v>0</v>
      </c>
      <c r="E11" s="16">
        <f>COUNTIF(L19:L109, "Untest")</f>
        <v>0</v>
      </c>
      <c r="F11" s="16">
        <f>COUNTIF(P19:P109, "Untest")</f>
        <v>0</v>
      </c>
      <c r="H11" s="152"/>
      <c r="I11" s="12"/>
      <c r="J11" s="152"/>
      <c r="K11" s="2"/>
      <c r="L11" s="152"/>
      <c r="M11" s="12"/>
      <c r="N11" s="12"/>
      <c r="O11" s="12"/>
      <c r="P11" s="12"/>
      <c r="Q11" s="12"/>
      <c r="R11" s="13"/>
      <c r="S11" s="12"/>
      <c r="T11" s="12"/>
      <c r="U11" s="12"/>
    </row>
    <row r="12" spans="1:21" ht="17.399999999999999" x14ac:dyDescent="0.3">
      <c r="A12" s="12"/>
      <c r="B12" s="42"/>
      <c r="C12" s="14" t="s">
        <v>54</v>
      </c>
      <c r="D12" s="16">
        <f>COUNTIF(H19:H110, "N/A")</f>
        <v>0</v>
      </c>
      <c r="E12" s="16">
        <f>COUNTIF(L19:L110, "N/A")</f>
        <v>0</v>
      </c>
      <c r="F12" s="16">
        <f>COUNTIF(P19:P110, "N/A")</f>
        <v>0</v>
      </c>
      <c r="H12" s="152"/>
      <c r="I12" s="12"/>
      <c r="J12" s="152"/>
      <c r="K12" s="2"/>
      <c r="L12" s="152"/>
      <c r="M12" s="12"/>
      <c r="N12" s="12"/>
      <c r="O12" s="12"/>
      <c r="P12" s="12"/>
      <c r="Q12" s="12"/>
      <c r="R12" s="13"/>
      <c r="S12" s="12"/>
      <c r="T12" s="12"/>
      <c r="U12" s="12"/>
    </row>
    <row r="13" spans="1:21" ht="17.399999999999999" x14ac:dyDescent="0.3">
      <c r="A13" s="12"/>
      <c r="B13" s="42"/>
      <c r="C13" s="17" t="s">
        <v>55</v>
      </c>
      <c r="D13" s="143">
        <f>COUNTIF(H19:H111, "Blocking")</f>
        <v>0</v>
      </c>
      <c r="E13" s="143">
        <f>COUNTIF(L19:L111, "Blocking")</f>
        <v>0</v>
      </c>
      <c r="F13" s="143">
        <f>COUNTIF(P19:P111, "Blocking")</f>
        <v>0</v>
      </c>
      <c r="H13" s="152"/>
      <c r="I13" s="12"/>
      <c r="J13" s="152"/>
      <c r="K13" s="2"/>
      <c r="L13" s="152"/>
      <c r="M13" s="12"/>
      <c r="N13" s="12"/>
      <c r="O13" s="12"/>
      <c r="P13" s="12"/>
      <c r="Q13" s="12"/>
      <c r="R13" s="13"/>
      <c r="S13" s="12"/>
      <c r="T13" s="12"/>
      <c r="U13" s="12"/>
    </row>
    <row r="14" spans="1:21" ht="17.399999999999999" x14ac:dyDescent="0.3">
      <c r="A14" s="12"/>
      <c r="B14" s="42"/>
      <c r="C14" s="17" t="s">
        <v>56</v>
      </c>
      <c r="D14" s="353">
        <f>COUNTA($F$19:$F$1206)</f>
        <v>8</v>
      </c>
      <c r="E14" s="353"/>
      <c r="F14" s="353"/>
      <c r="G14" s="144"/>
      <c r="H14" s="153"/>
      <c r="I14" s="18"/>
      <c r="J14" s="153"/>
      <c r="K14" s="19"/>
      <c r="L14" s="153"/>
      <c r="M14" s="18"/>
      <c r="N14" s="18"/>
      <c r="O14" s="18"/>
      <c r="P14" s="18"/>
      <c r="Q14" s="18"/>
      <c r="R14" s="20"/>
      <c r="S14" s="18"/>
      <c r="T14" s="18"/>
      <c r="U14" s="18"/>
    </row>
    <row r="15" spans="1:21" s="71" customFormat="1" ht="17.399999999999999" x14ac:dyDescent="0.25">
      <c r="A15" s="70"/>
      <c r="B15" s="391" t="s">
        <v>23</v>
      </c>
      <c r="C15" s="391" t="s">
        <v>57</v>
      </c>
      <c r="D15" s="392" t="s">
        <v>58</v>
      </c>
      <c r="E15" s="102"/>
      <c r="F15" s="367" t="s">
        <v>60</v>
      </c>
      <c r="G15" s="363" t="s">
        <v>61</v>
      </c>
      <c r="H15" s="419" t="s">
        <v>62</v>
      </c>
      <c r="I15" s="419"/>
      <c r="J15" s="419"/>
      <c r="K15" s="419"/>
      <c r="L15" s="419"/>
      <c r="M15" s="419"/>
      <c r="N15" s="419"/>
      <c r="O15" s="419"/>
      <c r="P15" s="419"/>
      <c r="Q15" s="419"/>
      <c r="R15" s="419"/>
      <c r="S15" s="419"/>
      <c r="T15" s="444"/>
      <c r="U15" s="445" t="s">
        <v>63</v>
      </c>
    </row>
    <row r="16" spans="1:21" s="71" customFormat="1" ht="17.399999999999999" x14ac:dyDescent="0.25">
      <c r="A16" s="70"/>
      <c r="B16" s="392"/>
      <c r="C16" s="392"/>
      <c r="D16" s="392"/>
      <c r="E16" s="102" t="s">
        <v>59</v>
      </c>
      <c r="F16" s="367"/>
      <c r="G16" s="363"/>
      <c r="H16" s="419" t="s">
        <v>25</v>
      </c>
      <c r="I16" s="419"/>
      <c r="J16" s="419"/>
      <c r="K16" s="444"/>
      <c r="L16" s="419" t="s">
        <v>26</v>
      </c>
      <c r="M16" s="419"/>
      <c r="N16" s="419"/>
      <c r="O16" s="444"/>
      <c r="P16" s="420" t="s">
        <v>27</v>
      </c>
      <c r="Q16" s="420"/>
      <c r="R16" s="420"/>
      <c r="S16" s="446"/>
      <c r="T16" s="421" t="s">
        <v>64</v>
      </c>
      <c r="U16" s="400"/>
    </row>
    <row r="17" spans="1:21" s="71" customFormat="1" ht="17.399999999999999" x14ac:dyDescent="0.25">
      <c r="A17" s="70"/>
      <c r="B17" s="393"/>
      <c r="C17" s="393"/>
      <c r="D17" s="393"/>
      <c r="E17" s="103"/>
      <c r="F17" s="368"/>
      <c r="G17" s="363"/>
      <c r="H17" s="193" t="s">
        <v>61</v>
      </c>
      <c r="I17" s="22" t="s">
        <v>65</v>
      </c>
      <c r="J17" s="21" t="s">
        <v>66</v>
      </c>
      <c r="K17" s="21" t="s">
        <v>63</v>
      </c>
      <c r="L17" s="193" t="s">
        <v>61</v>
      </c>
      <c r="M17" s="22" t="s">
        <v>65</v>
      </c>
      <c r="N17" s="21" t="s">
        <v>66</v>
      </c>
      <c r="O17" s="21" t="s">
        <v>63</v>
      </c>
      <c r="P17" s="22" t="s">
        <v>61</v>
      </c>
      <c r="Q17" s="22" t="s">
        <v>65</v>
      </c>
      <c r="R17" s="21" t="s">
        <v>66</v>
      </c>
      <c r="S17" s="21" t="s">
        <v>63</v>
      </c>
      <c r="T17" s="407"/>
      <c r="U17" s="401"/>
    </row>
    <row r="18" spans="1:21" ht="20.399999999999999" x14ac:dyDescent="0.25">
      <c r="A18" s="12"/>
      <c r="B18" s="84"/>
      <c r="C18" s="394" t="s">
        <v>405</v>
      </c>
      <c r="D18" s="395"/>
      <c r="E18" s="395"/>
      <c r="F18" s="395"/>
      <c r="G18" s="396"/>
      <c r="H18" s="395"/>
      <c r="I18" s="395"/>
      <c r="J18" s="395"/>
      <c r="K18" s="395"/>
      <c r="L18" s="395"/>
      <c r="M18" s="395"/>
      <c r="N18" s="395"/>
      <c r="O18" s="395"/>
      <c r="P18" s="395"/>
      <c r="Q18" s="395"/>
      <c r="R18" s="395"/>
      <c r="S18" s="395"/>
      <c r="T18" s="395"/>
      <c r="U18" s="395"/>
    </row>
    <row r="19" spans="1:21" ht="20.100000000000001" customHeight="1" x14ac:dyDescent="0.25">
      <c r="A19" s="12"/>
      <c r="B19" s="68" t="str">
        <f>IF(AND(F19="")," ",$D$6&amp;"_"&amp;ROW()-20-COUNTBLANK($F$19:F19))</f>
        <v xml:space="preserve"> </v>
      </c>
      <c r="C19" s="354" t="s">
        <v>68</v>
      </c>
      <c r="D19" s="355"/>
      <c r="E19" s="355"/>
      <c r="F19" s="355"/>
      <c r="G19" s="356"/>
      <c r="H19" s="145"/>
      <c r="I19" s="45"/>
      <c r="J19" s="47"/>
      <c r="K19" s="46"/>
      <c r="L19" s="145"/>
      <c r="M19" s="47"/>
      <c r="N19" s="48"/>
      <c r="O19" s="48"/>
      <c r="P19" s="48"/>
      <c r="Q19" s="48"/>
      <c r="R19" s="46"/>
      <c r="S19" s="45"/>
      <c r="T19" s="47"/>
      <c r="U19" s="49"/>
    </row>
    <row r="20" spans="1:21" ht="183" customHeight="1" x14ac:dyDescent="0.25">
      <c r="A20" s="12"/>
      <c r="B20" s="69" t="str">
        <f>IF(AND(F20="")," ",$D$6&amp;"_"&amp;ROW()-19-COUNTBLANK($F$20:F20))</f>
        <v>&lt;Thư viện&gt;_1</v>
      </c>
      <c r="C20" s="372" t="s">
        <v>405</v>
      </c>
      <c r="D20" s="86" t="s">
        <v>406</v>
      </c>
      <c r="E20" s="132" t="s">
        <v>407</v>
      </c>
      <c r="F20" s="132" t="s">
        <v>408</v>
      </c>
      <c r="G20" s="125" t="s">
        <v>409</v>
      </c>
      <c r="H20" s="146" t="s">
        <v>28</v>
      </c>
      <c r="I20" s="78"/>
      <c r="J20" s="80" t="s">
        <v>337</v>
      </c>
      <c r="K20" s="79"/>
      <c r="L20" s="146" t="s">
        <v>28</v>
      </c>
      <c r="M20" s="80"/>
      <c r="N20" s="78" t="s">
        <v>75</v>
      </c>
      <c r="O20" s="81"/>
      <c r="P20" s="81"/>
      <c r="Q20" s="81"/>
      <c r="R20" s="79"/>
      <c r="S20" s="78"/>
      <c r="T20" s="80"/>
      <c r="U20" s="81"/>
    </row>
    <row r="21" spans="1:21" ht="127.5" customHeight="1" x14ac:dyDescent="0.25">
      <c r="A21" s="12"/>
      <c r="B21" s="69" t="str">
        <f>IF(AND(F21="")," ",$D$6&amp;"_"&amp;ROW()-19-COUNTBLANK($F$20:F21))</f>
        <v>&lt;Thư viện&gt;_2</v>
      </c>
      <c r="C21" s="474"/>
      <c r="D21" s="126" t="s">
        <v>410</v>
      </c>
      <c r="E21" s="301" t="s">
        <v>407</v>
      </c>
      <c r="F21" s="301" t="s">
        <v>411</v>
      </c>
      <c r="G21" s="139" t="s">
        <v>412</v>
      </c>
      <c r="H21" s="145" t="s">
        <v>28</v>
      </c>
      <c r="I21" s="50"/>
      <c r="J21" s="80" t="s">
        <v>337</v>
      </c>
      <c r="K21" s="51"/>
      <c r="L21" s="145" t="s">
        <v>28</v>
      </c>
      <c r="M21" s="52"/>
      <c r="N21" s="78" t="s">
        <v>75</v>
      </c>
      <c r="O21" s="53"/>
      <c r="P21" s="53"/>
      <c r="Q21" s="53"/>
      <c r="R21" s="51"/>
      <c r="S21" s="50"/>
      <c r="T21" s="52"/>
      <c r="U21" s="53"/>
    </row>
    <row r="22" spans="1:21" ht="69.75" customHeight="1" x14ac:dyDescent="0.25">
      <c r="A22" s="12"/>
      <c r="B22" s="69" t="str">
        <f>IF(AND(F22="")," ",$D$6&amp;"_"&amp;ROW()-19-COUNTBLANK($F$20:F22))</f>
        <v>&lt;Thư viện&gt;_3</v>
      </c>
      <c r="C22" s="213" t="s">
        <v>413</v>
      </c>
      <c r="D22" s="126" t="s">
        <v>406</v>
      </c>
      <c r="E22" s="301" t="s">
        <v>414</v>
      </c>
      <c r="F22" s="301" t="s">
        <v>415</v>
      </c>
      <c r="G22" s="139" t="s">
        <v>416</v>
      </c>
      <c r="H22" s="145" t="s">
        <v>28</v>
      </c>
      <c r="I22" s="50"/>
      <c r="J22" s="80" t="s">
        <v>337</v>
      </c>
      <c r="K22" s="51"/>
      <c r="L22" s="145" t="s">
        <v>28</v>
      </c>
      <c r="M22" s="52"/>
      <c r="N22" s="78" t="s">
        <v>75</v>
      </c>
      <c r="O22" s="53"/>
      <c r="P22" s="53"/>
      <c r="Q22" s="53"/>
      <c r="R22" s="51"/>
      <c r="S22" s="50"/>
      <c r="T22" s="52"/>
      <c r="U22" s="53"/>
    </row>
    <row r="23" spans="1:21" ht="60" customHeight="1" x14ac:dyDescent="0.25">
      <c r="A23" s="12"/>
      <c r="B23" s="69" t="str">
        <f>IF(AND(F23="")," ",$D$6&amp;"_"&amp;ROW()-19-COUNTBLANK($F$20:F23))</f>
        <v>&lt;Thư viện&gt;_4</v>
      </c>
      <c r="C23" s="372" t="s">
        <v>417</v>
      </c>
      <c r="D23" s="126" t="s">
        <v>410</v>
      </c>
      <c r="E23" s="501" t="s">
        <v>418</v>
      </c>
      <c r="F23" s="301" t="s">
        <v>419</v>
      </c>
      <c r="G23" s="125" t="s">
        <v>420</v>
      </c>
      <c r="H23" s="146" t="s">
        <v>28</v>
      </c>
      <c r="I23" s="78"/>
      <c r="J23" s="80" t="s">
        <v>337</v>
      </c>
      <c r="K23" s="79"/>
      <c r="L23" s="146" t="s">
        <v>28</v>
      </c>
      <c r="M23" s="80"/>
      <c r="N23" s="78" t="s">
        <v>75</v>
      </c>
      <c r="O23" s="81"/>
      <c r="P23" s="81"/>
      <c r="Q23" s="81"/>
      <c r="R23" s="79"/>
      <c r="S23" s="78"/>
      <c r="T23" s="80"/>
      <c r="U23" s="81"/>
    </row>
    <row r="24" spans="1:21" ht="78.75" customHeight="1" x14ac:dyDescent="0.25">
      <c r="A24" s="12"/>
      <c r="B24" s="69" t="str">
        <f>IF(AND(F24="")," ",$D$6&amp;"_"&amp;ROW()-19-COUNTBLANK($F$20:F24))</f>
        <v>&lt;Thư viện&gt;_5</v>
      </c>
      <c r="C24" s="373"/>
      <c r="D24" s="126" t="s">
        <v>421</v>
      </c>
      <c r="E24" s="502"/>
      <c r="F24" s="301" t="s">
        <v>419</v>
      </c>
      <c r="G24" s="125" t="s">
        <v>422</v>
      </c>
      <c r="H24" s="146" t="s">
        <v>28</v>
      </c>
      <c r="I24" s="78"/>
      <c r="J24" s="80" t="s">
        <v>337</v>
      </c>
      <c r="K24" s="79"/>
      <c r="L24" s="146" t="s">
        <v>28</v>
      </c>
      <c r="M24" s="80"/>
      <c r="N24" s="78" t="s">
        <v>75</v>
      </c>
      <c r="O24" s="81"/>
      <c r="P24" s="81"/>
      <c r="Q24" s="81"/>
      <c r="R24" s="79"/>
      <c r="S24" s="78"/>
      <c r="T24" s="80"/>
      <c r="U24" s="81"/>
    </row>
    <row r="25" spans="1:21" ht="20.100000000000001" customHeight="1" x14ac:dyDescent="0.25">
      <c r="A25" s="12"/>
      <c r="B25" s="83" t="str">
        <f>IF(AND(F25="")," ",$D$6&amp;"_"&amp;ROW()-19-COUNTBLANK($F$20:F25))</f>
        <v xml:space="preserve"> </v>
      </c>
      <c r="C25" s="450" t="s">
        <v>270</v>
      </c>
      <c r="D25" s="451"/>
      <c r="E25" s="451"/>
      <c r="F25" s="451"/>
      <c r="G25" s="503"/>
      <c r="H25" s="145"/>
      <c r="I25" s="45"/>
      <c r="J25" s="52"/>
      <c r="K25" s="46"/>
      <c r="L25" s="145"/>
      <c r="M25" s="47"/>
      <c r="N25" s="78"/>
      <c r="O25" s="48"/>
      <c r="P25" s="48"/>
      <c r="Q25" s="48"/>
      <c r="R25" s="46"/>
      <c r="S25" s="45"/>
      <c r="T25" s="47"/>
      <c r="U25" s="49"/>
    </row>
    <row r="26" spans="1:21" ht="127.5" customHeight="1" x14ac:dyDescent="0.25">
      <c r="A26" s="12"/>
      <c r="B26" s="69" t="str">
        <f>IF(AND(F26="")," ",$D$6&amp;"_"&amp;ROW()-19-COUNTBLANK($F$20:F26))</f>
        <v>&lt;Thư viện&gt;_6</v>
      </c>
      <c r="C26" s="209" t="s">
        <v>423</v>
      </c>
      <c r="D26" s="413" t="s">
        <v>410</v>
      </c>
      <c r="E26" s="132" t="s">
        <v>424</v>
      </c>
      <c r="F26" s="132" t="s">
        <v>415</v>
      </c>
      <c r="G26" s="125" t="s">
        <v>425</v>
      </c>
      <c r="H26" s="146" t="s">
        <v>28</v>
      </c>
      <c r="I26" s="78"/>
      <c r="J26" s="80" t="s">
        <v>337</v>
      </c>
      <c r="K26" s="79"/>
      <c r="L26" s="146" t="s">
        <v>28</v>
      </c>
      <c r="M26" s="80"/>
      <c r="N26" s="78" t="s">
        <v>75</v>
      </c>
      <c r="O26" s="81"/>
      <c r="P26" s="81"/>
      <c r="Q26" s="81"/>
      <c r="R26" s="79"/>
      <c r="S26" s="78"/>
      <c r="T26" s="80"/>
      <c r="U26" s="81"/>
    </row>
    <row r="27" spans="1:21" ht="127.5" customHeight="1" x14ac:dyDescent="0.25">
      <c r="A27" s="12"/>
      <c r="B27" s="69" t="str">
        <f>IF(AND(F27="")," ",$D$6&amp;"_"&amp;ROW()-19-COUNTBLANK($F$20:F27))</f>
        <v>&lt;Thư viện&gt;_7</v>
      </c>
      <c r="C27" s="209" t="s">
        <v>426</v>
      </c>
      <c r="D27" s="413"/>
      <c r="E27" s="132" t="s">
        <v>427</v>
      </c>
      <c r="F27" s="132" t="s">
        <v>419</v>
      </c>
      <c r="G27" s="125" t="s">
        <v>428</v>
      </c>
      <c r="H27" s="146" t="s">
        <v>28</v>
      </c>
      <c r="I27" s="78"/>
      <c r="J27" s="80" t="s">
        <v>337</v>
      </c>
      <c r="K27" s="79"/>
      <c r="L27" s="146" t="s">
        <v>28</v>
      </c>
      <c r="M27" s="80"/>
      <c r="N27" s="78" t="s">
        <v>75</v>
      </c>
      <c r="O27" s="81"/>
      <c r="P27" s="81"/>
      <c r="Q27" s="81"/>
      <c r="R27" s="79"/>
      <c r="S27" s="78"/>
      <c r="T27" s="80"/>
      <c r="U27" s="81"/>
    </row>
    <row r="28" spans="1:21" ht="127.5" customHeight="1" x14ac:dyDescent="0.25">
      <c r="A28" s="12"/>
      <c r="B28" s="83" t="str">
        <f>IF(AND(F28="")," ",$D$6&amp;"_"&amp;ROW()-19-COUNTBLANK($F$20:F28))</f>
        <v>&lt;Thư viện&gt;_8</v>
      </c>
      <c r="C28" s="213" t="s">
        <v>429</v>
      </c>
      <c r="D28" s="413"/>
      <c r="E28" s="301" t="s">
        <v>430</v>
      </c>
      <c r="F28" s="301" t="s">
        <v>431</v>
      </c>
      <c r="G28" s="139" t="s">
        <v>432</v>
      </c>
      <c r="H28" s="201" t="s">
        <v>29</v>
      </c>
      <c r="I28" s="50"/>
      <c r="J28" s="52" t="s">
        <v>337</v>
      </c>
      <c r="K28" s="51" t="s">
        <v>433</v>
      </c>
      <c r="L28" s="326" t="s">
        <v>28</v>
      </c>
      <c r="M28" s="188"/>
      <c r="N28" s="222" t="s">
        <v>75</v>
      </c>
      <c r="O28" s="325"/>
      <c r="P28" s="53"/>
      <c r="Q28" s="53"/>
      <c r="R28" s="51"/>
      <c r="S28" s="50"/>
      <c r="T28" s="52"/>
      <c r="U28" s="53"/>
    </row>
    <row r="29" spans="1:21" s="317" customFormat="1" x14ac:dyDescent="0.25">
      <c r="B29" s="318"/>
      <c r="F29" s="319"/>
      <c r="H29" s="320"/>
      <c r="J29" s="320"/>
      <c r="K29" s="321"/>
      <c r="L29" s="320"/>
      <c r="R29" s="321"/>
    </row>
  </sheetData>
  <mergeCells count="22">
    <mergeCell ref="G15:G17"/>
    <mergeCell ref="D26:D28"/>
    <mergeCell ref="D5:F5"/>
    <mergeCell ref="D6:F6"/>
    <mergeCell ref="D7:F7"/>
    <mergeCell ref="D14:F14"/>
    <mergeCell ref="C18:U18"/>
    <mergeCell ref="H15:T15"/>
    <mergeCell ref="U15:U17"/>
    <mergeCell ref="H16:K16"/>
    <mergeCell ref="L16:O16"/>
    <mergeCell ref="P16:S16"/>
    <mergeCell ref="T16:T17"/>
    <mergeCell ref="C25:G25"/>
    <mergeCell ref="C19:G19"/>
    <mergeCell ref="C20:C21"/>
    <mergeCell ref="E23:E24"/>
    <mergeCell ref="B15:B17"/>
    <mergeCell ref="C15:C17"/>
    <mergeCell ref="D15:D17"/>
    <mergeCell ref="F15:F17"/>
    <mergeCell ref="C23:C24"/>
  </mergeCells>
  <dataValidations count="1">
    <dataValidation type="list" showInputMessage="1" showErrorMessage="1" sqref="H19:H28 L19:L28" xr:uid="{9A4D15CD-D2DB-4493-8DF6-79FF24E594AD}">
      <formula1>#REF!</formula1>
    </dataValidation>
  </dataValidations>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C9285-057F-43DA-9D65-DFAF3AC7AD6D}">
  <sheetPr codeName="Sheet9">
    <tabColor theme="5" tint="0.79998168889431442"/>
  </sheetPr>
  <dimension ref="A1:U28"/>
  <sheetViews>
    <sheetView showGridLines="0" topLeftCell="A19" zoomScale="40" zoomScaleNormal="40" workbookViewId="0">
      <selection activeCell="J24" sqref="J24"/>
    </sheetView>
  </sheetViews>
  <sheetFormatPr defaultColWidth="8.796875" defaultRowHeight="15" x14ac:dyDescent="0.25"/>
  <cols>
    <col min="2" max="2" width="17.69921875" style="67" customWidth="1"/>
    <col min="3" max="3" width="31.5" customWidth="1"/>
    <col min="4" max="5" width="30.69921875" customWidth="1"/>
    <col min="6" max="6" width="28" style="61" customWidth="1"/>
    <col min="7" max="7" width="28.796875" customWidth="1"/>
    <col min="8" max="8" width="18.796875" style="172" customWidth="1"/>
    <col min="9" max="9" width="18.796875" customWidth="1"/>
    <col min="10" max="10" width="18.796875" style="199" customWidth="1"/>
    <col min="11" max="11" width="12.69921875" style="23" customWidth="1"/>
    <col min="12" max="12" width="25.5" style="23" customWidth="1"/>
    <col min="13" max="13" width="18.796875" customWidth="1"/>
    <col min="14" max="17" width="27.5" customWidth="1"/>
    <col min="18" max="18" width="12.5" style="23" customWidth="1"/>
    <col min="19" max="19" width="27.19921875" customWidth="1"/>
    <col min="20" max="21" width="22.796875" customWidth="1"/>
  </cols>
  <sheetData>
    <row r="1" spans="1:21" ht="15.6" x14ac:dyDescent="0.3">
      <c r="A1" s="12"/>
      <c r="B1" s="63"/>
      <c r="C1" s="12"/>
      <c r="D1" s="12"/>
      <c r="E1" s="12"/>
      <c r="F1" s="59"/>
      <c r="G1" s="12"/>
      <c r="H1" s="170"/>
      <c r="I1" s="12"/>
      <c r="J1" s="152"/>
      <c r="K1" s="2"/>
      <c r="L1" s="2"/>
      <c r="M1" s="12"/>
      <c r="N1" s="12"/>
      <c r="O1" s="12"/>
      <c r="P1" s="12"/>
      <c r="Q1" s="12"/>
      <c r="R1" s="13"/>
      <c r="S1" s="12"/>
      <c r="T1" s="12"/>
      <c r="U1" s="12"/>
    </row>
    <row r="2" spans="1:21" ht="15.6" x14ac:dyDescent="0.3">
      <c r="A2" s="12"/>
      <c r="B2" s="63"/>
      <c r="C2" s="12"/>
      <c r="D2" s="12"/>
      <c r="E2" s="12"/>
      <c r="F2" s="59"/>
      <c r="G2" s="12"/>
      <c r="H2" s="170"/>
      <c r="I2" s="12"/>
      <c r="J2" s="152"/>
      <c r="K2" s="2"/>
      <c r="L2" s="2"/>
      <c r="M2" s="12"/>
      <c r="N2" s="12"/>
      <c r="O2" s="12"/>
      <c r="P2" s="12"/>
      <c r="Q2" s="12"/>
      <c r="R2" s="13"/>
      <c r="S2" s="12"/>
      <c r="T2" s="12"/>
      <c r="U2" s="12"/>
    </row>
    <row r="3" spans="1:21" ht="15.6" x14ac:dyDescent="0.3">
      <c r="A3" s="12"/>
      <c r="B3" s="63"/>
      <c r="C3" s="12"/>
      <c r="D3" s="12"/>
      <c r="E3" s="12"/>
      <c r="F3" s="59"/>
      <c r="G3" s="12"/>
      <c r="H3" s="170"/>
      <c r="I3" s="12"/>
      <c r="J3" s="152"/>
      <c r="K3" s="2"/>
      <c r="L3" s="2"/>
      <c r="M3" s="12"/>
      <c r="N3" s="12"/>
      <c r="O3" s="12"/>
      <c r="P3" s="12"/>
      <c r="Q3" s="12"/>
      <c r="R3" s="13"/>
      <c r="S3" s="12"/>
      <c r="T3" s="12"/>
      <c r="U3" s="12"/>
    </row>
    <row r="4" spans="1:21" ht="15.6" x14ac:dyDescent="0.3">
      <c r="A4" s="12"/>
      <c r="B4" s="63"/>
      <c r="C4" s="12"/>
      <c r="D4" s="12"/>
      <c r="E4" s="12"/>
      <c r="F4" s="59"/>
      <c r="G4" s="12"/>
      <c r="H4" s="170"/>
      <c r="I4" s="12"/>
      <c r="J4" s="152"/>
      <c r="K4" s="2"/>
      <c r="L4" s="2"/>
      <c r="M4" s="12"/>
      <c r="N4" s="12"/>
      <c r="O4" s="12"/>
      <c r="P4" s="12"/>
      <c r="Q4" s="12"/>
      <c r="R4" s="13"/>
      <c r="S4" s="12"/>
      <c r="T4" s="12"/>
      <c r="U4" s="12"/>
    </row>
    <row r="5" spans="1:21" ht="17.399999999999999" x14ac:dyDescent="0.3">
      <c r="A5" s="12"/>
      <c r="B5" s="42"/>
      <c r="C5" s="14" t="s">
        <v>24</v>
      </c>
      <c r="D5" s="432" t="s">
        <v>45</v>
      </c>
      <c r="E5" s="433"/>
      <c r="F5" s="434"/>
      <c r="G5" s="120"/>
      <c r="H5" s="170"/>
      <c r="I5" s="12"/>
      <c r="J5" s="152"/>
      <c r="K5" s="2"/>
      <c r="L5" s="2"/>
      <c r="M5" s="12"/>
      <c r="N5" s="12"/>
      <c r="O5" s="12"/>
      <c r="P5" s="12"/>
      <c r="Q5" s="12"/>
      <c r="R5" s="13"/>
      <c r="S5" s="12"/>
      <c r="T5" s="12"/>
      <c r="U5" s="12"/>
    </row>
    <row r="6" spans="1:21" ht="17.399999999999999" x14ac:dyDescent="0.3">
      <c r="A6" s="12"/>
      <c r="B6" s="42"/>
      <c r="C6" s="17" t="s">
        <v>47</v>
      </c>
      <c r="D6" s="435" t="s">
        <v>434</v>
      </c>
      <c r="E6" s="436"/>
      <c r="F6" s="437"/>
      <c r="G6" s="121"/>
      <c r="H6" s="170"/>
      <c r="I6" s="12"/>
      <c r="J6" s="152"/>
      <c r="K6" s="2"/>
      <c r="L6" s="2"/>
      <c r="M6" s="12"/>
      <c r="N6" s="12"/>
      <c r="O6" s="12"/>
      <c r="P6" s="12"/>
      <c r="R6" s="13"/>
      <c r="S6" s="12"/>
      <c r="T6" s="12"/>
      <c r="U6" s="12"/>
    </row>
    <row r="7" spans="1:21" ht="17.399999999999999" x14ac:dyDescent="0.3">
      <c r="A7" s="12"/>
      <c r="B7" s="42"/>
      <c r="C7" s="14" t="s">
        <v>49</v>
      </c>
      <c r="D7" s="438"/>
      <c r="E7" s="439"/>
      <c r="F7" s="440"/>
      <c r="G7" s="120"/>
      <c r="H7" s="170"/>
      <c r="I7" s="12"/>
      <c r="J7" s="152"/>
      <c r="K7" s="2"/>
      <c r="L7" s="2"/>
      <c r="M7" s="12"/>
      <c r="N7" s="12"/>
      <c r="O7" s="12"/>
      <c r="P7" s="12"/>
      <c r="Q7" s="12"/>
      <c r="R7" s="13"/>
      <c r="S7" s="12"/>
      <c r="T7" s="12"/>
      <c r="U7" s="12"/>
    </row>
    <row r="8" spans="1:21" ht="17.399999999999999" x14ac:dyDescent="0.3">
      <c r="A8" s="12"/>
      <c r="B8" s="42"/>
      <c r="C8" s="14" t="s">
        <v>50</v>
      </c>
      <c r="D8" s="15" t="s">
        <v>25</v>
      </c>
      <c r="E8" s="15" t="s">
        <v>26</v>
      </c>
      <c r="F8" s="15" t="s">
        <v>27</v>
      </c>
      <c r="H8" s="170"/>
      <c r="I8" s="12"/>
      <c r="J8" s="152"/>
      <c r="K8" s="2"/>
      <c r="L8" s="2"/>
      <c r="M8" s="12"/>
      <c r="N8" s="12"/>
      <c r="O8" s="12"/>
      <c r="P8" s="12"/>
      <c r="Q8" s="12"/>
      <c r="R8" s="13"/>
      <c r="S8" s="12"/>
      <c r="T8" s="12"/>
      <c r="U8" s="12"/>
    </row>
    <row r="9" spans="1:21" ht="17.399999999999999" x14ac:dyDescent="0.3">
      <c r="A9" s="12"/>
      <c r="B9" s="42"/>
      <c r="C9" s="14" t="s">
        <v>51</v>
      </c>
      <c r="D9" s="16">
        <f>COUNTIF(H18:H111, "Pass*")</f>
        <v>7</v>
      </c>
      <c r="E9" s="16">
        <f>COUNTIF(L18:L111, "Pass*")</f>
        <v>0</v>
      </c>
      <c r="F9" s="16">
        <f>COUNTIF(P18:P111, "Pass*")</f>
        <v>0</v>
      </c>
      <c r="H9" s="170"/>
      <c r="I9" s="12"/>
      <c r="J9" s="152"/>
      <c r="K9" s="2"/>
      <c r="L9" s="2"/>
      <c r="M9" s="12"/>
      <c r="N9" s="12"/>
      <c r="O9" s="12"/>
      <c r="P9" s="12"/>
      <c r="Q9" s="12"/>
      <c r="R9" s="13"/>
      <c r="S9" s="12"/>
      <c r="T9" s="12"/>
      <c r="U9" s="12"/>
    </row>
    <row r="10" spans="1:21" ht="17.399999999999999" x14ac:dyDescent="0.3">
      <c r="A10" s="12"/>
      <c r="B10" s="42"/>
      <c r="C10" s="14" t="s">
        <v>52</v>
      </c>
      <c r="D10" s="16">
        <f>COUNTIF(H19:H112, "Fail")</f>
        <v>0</v>
      </c>
      <c r="E10" s="16">
        <f>COUNTIF(L19:L112, "Fail")</f>
        <v>0</v>
      </c>
      <c r="F10" s="16">
        <f>COUNTIF(P19:P112, "Fail")</f>
        <v>0</v>
      </c>
      <c r="H10" s="170"/>
      <c r="I10" s="12"/>
      <c r="J10" s="152"/>
      <c r="K10" s="2"/>
      <c r="L10" s="2"/>
      <c r="M10" s="12"/>
      <c r="N10" s="12"/>
      <c r="O10" s="12"/>
      <c r="P10" s="12"/>
      <c r="Q10" s="12"/>
      <c r="R10" s="13"/>
      <c r="S10" s="12"/>
      <c r="T10" s="12"/>
      <c r="U10" s="12"/>
    </row>
    <row r="11" spans="1:21" ht="17.399999999999999" x14ac:dyDescent="0.3">
      <c r="A11" s="12"/>
      <c r="B11" s="42"/>
      <c r="C11" s="14" t="s">
        <v>53</v>
      </c>
      <c r="D11" s="16">
        <f>COUNTIF(H19:H113, "Untest")</f>
        <v>0</v>
      </c>
      <c r="E11" s="16">
        <f>COUNTIF(L19:L113, "Untest")</f>
        <v>0</v>
      </c>
      <c r="F11" s="16">
        <f>COUNTIF(P19:P113, "Untest")</f>
        <v>0</v>
      </c>
      <c r="H11" s="170"/>
      <c r="I11" s="12"/>
      <c r="J11" s="152"/>
      <c r="K11" s="2"/>
      <c r="L11" s="2"/>
      <c r="M11" s="12"/>
      <c r="N11" s="12"/>
      <c r="O11" s="12"/>
      <c r="P11" s="12"/>
      <c r="Q11" s="12"/>
      <c r="R11" s="13"/>
      <c r="S11" s="12"/>
      <c r="T11" s="12"/>
      <c r="U11" s="12"/>
    </row>
    <row r="12" spans="1:21" ht="17.399999999999999" x14ac:dyDescent="0.3">
      <c r="A12" s="12"/>
      <c r="B12" s="42"/>
      <c r="C12" s="14" t="s">
        <v>54</v>
      </c>
      <c r="D12" s="16">
        <f>COUNTIF(H19:H114, "N/A")</f>
        <v>0</v>
      </c>
      <c r="E12" s="16">
        <f>COUNTIF(L19:L114, "N/A")</f>
        <v>0</v>
      </c>
      <c r="F12" s="16">
        <f>COUNTIF(P19:P114, "N/A")</f>
        <v>0</v>
      </c>
      <c r="H12" s="170"/>
      <c r="I12" s="12"/>
      <c r="J12" s="152"/>
      <c r="K12" s="2"/>
      <c r="L12" s="2"/>
      <c r="M12" s="12"/>
      <c r="N12" s="12"/>
      <c r="O12" s="12"/>
      <c r="P12" s="12"/>
      <c r="Q12" s="12"/>
      <c r="R12" s="13"/>
      <c r="S12" s="12"/>
      <c r="T12" s="12"/>
      <c r="U12" s="12"/>
    </row>
    <row r="13" spans="1:21" ht="17.399999999999999" x14ac:dyDescent="0.3">
      <c r="A13" s="12"/>
      <c r="B13" s="42"/>
      <c r="C13" s="17" t="s">
        <v>55</v>
      </c>
      <c r="D13" s="143">
        <f>COUNTIF(H19:H115, "Blocking")</f>
        <v>0</v>
      </c>
      <c r="E13" s="143">
        <f>COUNTIF(L19:L115, "Blocking")</f>
        <v>0</v>
      </c>
      <c r="F13" s="143">
        <f>COUNTIF(P19:P115, "Blocking")</f>
        <v>0</v>
      </c>
      <c r="H13" s="170"/>
      <c r="I13" s="12"/>
      <c r="J13" s="152"/>
      <c r="K13" s="2"/>
      <c r="L13" s="2"/>
      <c r="M13" s="12"/>
      <c r="N13" s="12"/>
      <c r="O13" s="12"/>
      <c r="P13" s="12"/>
      <c r="Q13" s="12"/>
      <c r="R13" s="13"/>
      <c r="S13" s="12"/>
      <c r="T13" s="12"/>
      <c r="U13" s="12"/>
    </row>
    <row r="14" spans="1:21" ht="17.399999999999999" x14ac:dyDescent="0.3">
      <c r="A14" s="12"/>
      <c r="B14" s="42"/>
      <c r="C14" s="17" t="s">
        <v>56</v>
      </c>
      <c r="D14" s="353">
        <f>COUNTA($F$19:$F$1210)</f>
        <v>7</v>
      </c>
      <c r="E14" s="353"/>
      <c r="F14" s="353"/>
      <c r="G14" s="144"/>
      <c r="H14" s="171"/>
      <c r="I14" s="18"/>
      <c r="J14" s="153"/>
      <c r="K14" s="19"/>
      <c r="L14" s="19"/>
      <c r="M14" s="18"/>
      <c r="N14" s="18"/>
      <c r="O14" s="18"/>
      <c r="P14" s="18"/>
      <c r="Q14" s="18"/>
      <c r="R14" s="20"/>
      <c r="S14" s="18"/>
      <c r="T14" s="18"/>
      <c r="U14" s="18"/>
    </row>
    <row r="15" spans="1:21" s="71" customFormat="1" ht="17.399999999999999" x14ac:dyDescent="0.25">
      <c r="A15" s="70"/>
      <c r="B15" s="391" t="s">
        <v>23</v>
      </c>
      <c r="C15" s="391" t="s">
        <v>57</v>
      </c>
      <c r="D15" s="392" t="s">
        <v>58</v>
      </c>
      <c r="E15" s="102"/>
      <c r="F15" s="392" t="s">
        <v>60</v>
      </c>
      <c r="G15" s="392" t="s">
        <v>61</v>
      </c>
      <c r="H15" s="419" t="s">
        <v>62</v>
      </c>
      <c r="I15" s="419"/>
      <c r="J15" s="419"/>
      <c r="K15" s="419"/>
      <c r="L15" s="419"/>
      <c r="M15" s="419"/>
      <c r="N15" s="419"/>
      <c r="O15" s="419"/>
      <c r="P15" s="419"/>
      <c r="Q15" s="419"/>
      <c r="R15" s="419"/>
      <c r="S15" s="419"/>
      <c r="T15" s="444"/>
      <c r="U15" s="445" t="s">
        <v>63</v>
      </c>
    </row>
    <row r="16" spans="1:21" s="71" customFormat="1" ht="17.399999999999999" x14ac:dyDescent="0.25">
      <c r="A16" s="70"/>
      <c r="B16" s="392"/>
      <c r="C16" s="392"/>
      <c r="D16" s="392"/>
      <c r="E16" s="102" t="s">
        <v>59</v>
      </c>
      <c r="F16" s="392"/>
      <c r="G16" s="392"/>
      <c r="H16" s="419" t="s">
        <v>25</v>
      </c>
      <c r="I16" s="419"/>
      <c r="J16" s="419"/>
      <c r="K16" s="444"/>
      <c r="L16" s="419" t="s">
        <v>26</v>
      </c>
      <c r="M16" s="419"/>
      <c r="N16" s="419"/>
      <c r="O16" s="444"/>
      <c r="P16" s="420" t="s">
        <v>27</v>
      </c>
      <c r="Q16" s="420"/>
      <c r="R16" s="420"/>
      <c r="S16" s="446"/>
      <c r="T16" s="421" t="s">
        <v>64</v>
      </c>
      <c r="U16" s="400"/>
    </row>
    <row r="17" spans="1:21" s="71" customFormat="1" ht="17.399999999999999" x14ac:dyDescent="0.25">
      <c r="A17" s="70"/>
      <c r="B17" s="393"/>
      <c r="C17" s="393"/>
      <c r="D17" s="393"/>
      <c r="E17" s="103"/>
      <c r="F17" s="393"/>
      <c r="G17" s="393"/>
      <c r="H17" s="22" t="s">
        <v>61</v>
      </c>
      <c r="I17" s="22" t="s">
        <v>65</v>
      </c>
      <c r="J17" s="21" t="s">
        <v>66</v>
      </c>
      <c r="K17" s="21" t="s">
        <v>63</v>
      </c>
      <c r="L17" s="22" t="s">
        <v>61</v>
      </c>
      <c r="M17" s="22" t="s">
        <v>65</v>
      </c>
      <c r="N17" s="21" t="s">
        <v>66</v>
      </c>
      <c r="O17" s="21" t="s">
        <v>63</v>
      </c>
      <c r="P17" s="22" t="s">
        <v>61</v>
      </c>
      <c r="Q17" s="22" t="s">
        <v>65</v>
      </c>
      <c r="R17" s="21" t="s">
        <v>66</v>
      </c>
      <c r="S17" s="21" t="s">
        <v>63</v>
      </c>
      <c r="T17" s="407"/>
      <c r="U17" s="401"/>
    </row>
    <row r="18" spans="1:21" ht="20.399999999999999" x14ac:dyDescent="0.25">
      <c r="A18" s="12"/>
      <c r="B18" s="84"/>
      <c r="C18" s="394" t="s">
        <v>435</v>
      </c>
      <c r="D18" s="395"/>
      <c r="E18" s="395"/>
      <c r="F18" s="395"/>
      <c r="G18" s="395"/>
      <c r="H18" s="395"/>
      <c r="I18" s="395"/>
      <c r="J18" s="395"/>
      <c r="K18" s="395"/>
      <c r="L18" s="395"/>
      <c r="M18" s="395"/>
      <c r="N18" s="395"/>
      <c r="O18" s="395"/>
      <c r="P18" s="395"/>
      <c r="Q18" s="395"/>
      <c r="R18" s="395"/>
      <c r="S18" s="395"/>
      <c r="T18" s="395"/>
      <c r="U18" s="395"/>
    </row>
    <row r="19" spans="1:21" ht="22.5" customHeight="1" x14ac:dyDescent="0.25">
      <c r="A19" s="390"/>
      <c r="B19" s="66"/>
      <c r="C19" s="452" t="s">
        <v>436</v>
      </c>
      <c r="D19" s="453"/>
      <c r="E19" s="454"/>
      <c r="F19" s="128"/>
      <c r="G19" s="129"/>
      <c r="H19" s="146"/>
      <c r="I19" s="38"/>
      <c r="J19" s="42"/>
      <c r="K19" s="38"/>
      <c r="L19" s="38"/>
      <c r="M19" s="39"/>
      <c r="N19" s="39"/>
      <c r="O19" s="39"/>
      <c r="P19" s="39"/>
      <c r="Q19" s="39"/>
      <c r="R19" s="40"/>
      <c r="S19" s="37"/>
      <c r="T19" s="37"/>
      <c r="U19" s="37"/>
    </row>
    <row r="20" spans="1:21" ht="20.399999999999999" x14ac:dyDescent="0.25">
      <c r="A20" s="390"/>
      <c r="B20" s="66" t="str">
        <f>IF(AND(F20="")," ",$D$6&amp;"_"&amp;ROW()-20-COUNTBLANK($F$19:F20))</f>
        <v xml:space="preserve"> </v>
      </c>
      <c r="C20" s="409" t="s">
        <v>437</v>
      </c>
      <c r="D20" s="409"/>
      <c r="E20" s="409"/>
      <c r="F20" s="449"/>
      <c r="G20" s="123"/>
      <c r="H20" s="146"/>
      <c r="I20" s="41"/>
      <c r="J20" s="42"/>
      <c r="K20" s="40"/>
      <c r="L20" s="41"/>
      <c r="M20" s="42"/>
      <c r="N20" s="43"/>
      <c r="O20" s="43"/>
      <c r="P20" s="43"/>
      <c r="Q20" s="43"/>
      <c r="R20" s="40"/>
      <c r="S20" s="41"/>
      <c r="T20" s="42"/>
      <c r="U20" s="44"/>
    </row>
    <row r="21" spans="1:21" ht="103.5" customHeight="1" x14ac:dyDescent="0.25">
      <c r="A21" s="12"/>
      <c r="B21" s="66" t="str">
        <f>IF(AND(F21="")," ",$D$6&amp;"_"&amp;ROW()-20-COUNTBLANK($F$21:F21))</f>
        <v>&lt;Tìm kiếm&gt;_1</v>
      </c>
      <c r="C21" s="372" t="s">
        <v>436</v>
      </c>
      <c r="D21" s="364" t="s">
        <v>293</v>
      </c>
      <c r="E21" s="91" t="s">
        <v>438</v>
      </c>
      <c r="F21" s="91" t="s">
        <v>439</v>
      </c>
      <c r="G21" s="139" t="s">
        <v>440</v>
      </c>
      <c r="H21" s="145" t="s">
        <v>28</v>
      </c>
      <c r="I21" s="45"/>
      <c r="J21" s="47" t="s">
        <v>74</v>
      </c>
      <c r="K21" s="46"/>
      <c r="L21" s="45"/>
      <c r="M21" s="47"/>
      <c r="N21" s="48"/>
      <c r="O21" s="48"/>
      <c r="P21" s="48"/>
      <c r="Q21" s="48"/>
      <c r="R21" s="46"/>
      <c r="S21" s="45"/>
      <c r="T21" s="47"/>
      <c r="U21" s="49"/>
    </row>
    <row r="22" spans="1:21" ht="103.5" customHeight="1" x14ac:dyDescent="0.25">
      <c r="A22" s="12"/>
      <c r="B22" s="66" t="str">
        <f>IF(AND(F22="")," ",$D$6&amp;"_"&amp;ROW()-20-COUNTBLANK($F$21:F22))</f>
        <v>&lt;Tìm kiếm&gt;_2</v>
      </c>
      <c r="C22" s="474"/>
      <c r="D22" s="365"/>
      <c r="E22" s="132" t="s">
        <v>441</v>
      </c>
      <c r="F22" s="132" t="s">
        <v>442</v>
      </c>
      <c r="G22" s="125" t="s">
        <v>443</v>
      </c>
      <c r="H22" s="146" t="s">
        <v>28</v>
      </c>
      <c r="I22" s="138"/>
      <c r="J22" s="47" t="s">
        <v>74</v>
      </c>
      <c r="K22" s="46"/>
      <c r="L22" s="45"/>
      <c r="M22" s="47"/>
      <c r="N22" s="48"/>
      <c r="O22" s="48"/>
      <c r="P22" s="48"/>
      <c r="Q22" s="48"/>
      <c r="R22" s="46"/>
      <c r="S22" s="45"/>
      <c r="T22" s="47"/>
      <c r="U22" s="49"/>
    </row>
    <row r="23" spans="1:21" ht="103.5" customHeight="1" x14ac:dyDescent="0.25">
      <c r="A23" s="12"/>
      <c r="B23" s="66" t="str">
        <f>IF(AND(F23="")," ",$D$6&amp;"_"&amp;ROW()-20-COUNTBLANK($F$21:F23))</f>
        <v>&lt;Tìm kiếm&gt;_3</v>
      </c>
      <c r="C23" s="474"/>
      <c r="D23" s="365"/>
      <c r="E23" s="132" t="s">
        <v>444</v>
      </c>
      <c r="F23" s="132" t="s">
        <v>445</v>
      </c>
      <c r="G23" s="125" t="s">
        <v>446</v>
      </c>
      <c r="H23" s="146" t="s">
        <v>28</v>
      </c>
      <c r="I23" s="138"/>
      <c r="J23" s="47" t="s">
        <v>74</v>
      </c>
      <c r="K23" s="46"/>
      <c r="L23" s="45"/>
      <c r="M23" s="47"/>
      <c r="N23" s="48"/>
      <c r="O23" s="48"/>
      <c r="P23" s="48"/>
      <c r="Q23" s="48"/>
      <c r="R23" s="46"/>
      <c r="S23" s="45"/>
      <c r="T23" s="47"/>
      <c r="U23" s="49"/>
    </row>
    <row r="24" spans="1:21" ht="103.5" customHeight="1" x14ac:dyDescent="0.25">
      <c r="A24" s="12"/>
      <c r="B24" s="66" t="str">
        <f>IF(AND(F24="")," ",$D$6&amp;"_"&amp;ROW()-20-COUNTBLANK($F$21:F24))</f>
        <v>&lt;Tìm kiếm&gt;_4</v>
      </c>
      <c r="C24" s="474"/>
      <c r="D24" s="365"/>
      <c r="E24" s="132" t="s">
        <v>447</v>
      </c>
      <c r="F24" s="132" t="s">
        <v>448</v>
      </c>
      <c r="G24" s="125" t="s">
        <v>449</v>
      </c>
      <c r="H24" s="146" t="s">
        <v>28</v>
      </c>
      <c r="I24" s="138"/>
      <c r="J24" s="47" t="s">
        <v>74</v>
      </c>
      <c r="K24" s="46"/>
      <c r="L24" s="45"/>
      <c r="M24" s="47"/>
      <c r="N24" s="48"/>
      <c r="O24" s="48"/>
      <c r="P24" s="48"/>
      <c r="Q24" s="48"/>
      <c r="R24" s="46"/>
      <c r="S24" s="45"/>
      <c r="T24" s="47"/>
      <c r="U24" s="49"/>
    </row>
    <row r="25" spans="1:21" ht="103.5" customHeight="1" x14ac:dyDescent="0.25">
      <c r="A25" s="12"/>
      <c r="B25" s="66" t="str">
        <f>IF(AND(F25="")," ",$D$6&amp;"_"&amp;ROW()-20-COUNTBLANK($F$21:F25))</f>
        <v>&lt;Tìm kiếm&gt;_5</v>
      </c>
      <c r="C25" s="373"/>
      <c r="D25" s="366"/>
      <c r="E25" s="132" t="s">
        <v>450</v>
      </c>
      <c r="F25" s="132" t="s">
        <v>451</v>
      </c>
      <c r="G25" s="125" t="s">
        <v>452</v>
      </c>
      <c r="H25" s="146" t="s">
        <v>28</v>
      </c>
      <c r="I25" s="138"/>
      <c r="J25" s="47" t="s">
        <v>74</v>
      </c>
      <c r="K25" s="46"/>
      <c r="L25" s="45"/>
      <c r="M25" s="47"/>
      <c r="N25" s="48"/>
      <c r="O25" s="48"/>
      <c r="P25" s="48"/>
      <c r="Q25" s="48"/>
      <c r="R25" s="46"/>
      <c r="S25" s="45"/>
      <c r="T25" s="47"/>
      <c r="U25" s="49"/>
    </row>
    <row r="26" spans="1:21" s="71" customFormat="1" ht="20.399999999999999" x14ac:dyDescent="0.25">
      <c r="A26" s="70"/>
      <c r="B26" s="68" t="str">
        <f>IF(AND(F26="")," ",$D$6&amp;"_"&amp;ROW()-20-COUNTBLANK($F$21:F26))</f>
        <v xml:space="preserve"> </v>
      </c>
      <c r="C26" s="497" t="s">
        <v>453</v>
      </c>
      <c r="D26" s="498"/>
      <c r="E26" s="498"/>
      <c r="F26" s="498"/>
      <c r="G26" s="505"/>
      <c r="H26" s="173"/>
      <c r="I26" s="174"/>
      <c r="J26" s="47"/>
      <c r="K26" s="176"/>
      <c r="L26" s="176"/>
      <c r="M26" s="175"/>
      <c r="N26" s="175"/>
      <c r="O26" s="175"/>
      <c r="P26" s="175"/>
      <c r="Q26" s="175"/>
      <c r="R26" s="176"/>
      <c r="S26" s="175"/>
      <c r="T26" s="175"/>
      <c r="U26" s="175"/>
    </row>
    <row r="27" spans="1:21" s="151" customFormat="1" ht="103.5" customHeight="1" x14ac:dyDescent="0.25">
      <c r="A27" s="149"/>
      <c r="B27" s="69" t="str">
        <f>IF(AND(F27="")," ",$D$6&amp;"_"&amp;ROW()-20-COUNTBLANK($F$21:F27))</f>
        <v>&lt;Tìm kiếm&gt;_6</v>
      </c>
      <c r="C27" s="494" t="s">
        <v>454</v>
      </c>
      <c r="D27" s="491" t="s">
        <v>293</v>
      </c>
      <c r="E27" s="188" t="s">
        <v>455</v>
      </c>
      <c r="F27" s="177" t="s">
        <v>456</v>
      </c>
      <c r="G27" s="177" t="s">
        <v>457</v>
      </c>
      <c r="H27" s="146" t="s">
        <v>28</v>
      </c>
      <c r="I27" s="80"/>
      <c r="J27" s="47" t="s">
        <v>74</v>
      </c>
      <c r="K27" s="178"/>
      <c r="L27" s="80"/>
      <c r="M27" s="80"/>
      <c r="N27" s="179"/>
      <c r="O27" s="179"/>
      <c r="P27" s="179"/>
      <c r="Q27" s="179"/>
      <c r="R27" s="178"/>
      <c r="S27" s="80"/>
      <c r="T27" s="80"/>
      <c r="U27" s="179"/>
    </row>
    <row r="28" spans="1:21" s="151" customFormat="1" ht="103.5" customHeight="1" x14ac:dyDescent="0.25">
      <c r="A28" s="149"/>
      <c r="B28" s="69" t="str">
        <f>IF(AND(F28="")," ",$D$6&amp;"_"&amp;ROW()-20-COUNTBLANK($F$21:F28))</f>
        <v>&lt;Tìm kiếm&gt;_7</v>
      </c>
      <c r="C28" s="496"/>
      <c r="D28" s="504"/>
      <c r="E28" s="177" t="s">
        <v>458</v>
      </c>
      <c r="F28" s="187" t="s">
        <v>459</v>
      </c>
      <c r="G28" s="177" t="s">
        <v>460</v>
      </c>
      <c r="H28" s="146" t="s">
        <v>28</v>
      </c>
      <c r="I28" s="189"/>
      <c r="J28" s="80" t="s">
        <v>74</v>
      </c>
      <c r="K28" s="190"/>
      <c r="L28" s="80"/>
      <c r="M28" s="80"/>
      <c r="N28" s="179"/>
      <c r="O28" s="179"/>
      <c r="P28" s="179"/>
      <c r="Q28" s="179"/>
      <c r="R28" s="178"/>
      <c r="S28" s="80"/>
      <c r="T28" s="80"/>
      <c r="U28" s="179"/>
    </row>
  </sheetData>
  <mergeCells count="24">
    <mergeCell ref="A19:A20"/>
    <mergeCell ref="C19:E19"/>
    <mergeCell ref="C20:F20"/>
    <mergeCell ref="C21:C25"/>
    <mergeCell ref="D21:D25"/>
    <mergeCell ref="B15:B17"/>
    <mergeCell ref="C15:C17"/>
    <mergeCell ref="D15:D17"/>
    <mergeCell ref="F15:F17"/>
    <mergeCell ref="G15:G17"/>
    <mergeCell ref="C27:C28"/>
    <mergeCell ref="D27:D28"/>
    <mergeCell ref="D5:F5"/>
    <mergeCell ref="D6:F6"/>
    <mergeCell ref="D7:F7"/>
    <mergeCell ref="D14:F14"/>
    <mergeCell ref="C26:G26"/>
    <mergeCell ref="C18:U18"/>
    <mergeCell ref="H15:T15"/>
    <mergeCell ref="U15:U17"/>
    <mergeCell ref="H16:K16"/>
    <mergeCell ref="L16:O16"/>
    <mergeCell ref="P16:S16"/>
    <mergeCell ref="T16:T17"/>
  </mergeCells>
  <dataValidations count="3">
    <dataValidation type="list" allowBlank="1" showInputMessage="1" showErrorMessage="1" sqref="K19" xr:uid="{C8052E5A-4757-4010-8496-D39178727483}">
      <formula1>$C$20:$C$20</formula1>
    </dataValidation>
    <dataValidation type="list" allowBlank="1" showInputMessage="1" showErrorMessage="1" sqref="T19:U19 N19:Q19" xr:uid="{070B81CB-4E23-410E-B929-87BAB8BB1D0B}">
      <formula1>#REF!</formula1>
    </dataValidation>
    <dataValidation type="list" showInputMessage="1" showErrorMessage="1" sqref="H19:H25 H27:H28" xr:uid="{DA599869-4585-4106-8521-4CCBE115AD48}">
      <formula1>#REF!</formula1>
    </dataValidation>
  </dataValidation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Tính năng</vt:lpstr>
      <vt:lpstr>Đăng nhập</vt:lpstr>
      <vt:lpstr>Đăng ký</vt:lpstr>
      <vt:lpstr>Thay đổi thông tin người dùng</vt:lpstr>
      <vt:lpstr>Quản lý từ điển</vt:lpstr>
      <vt:lpstr>Quản lý mục tiêu </vt:lpstr>
      <vt:lpstr>Quản lý thư viện</vt:lpstr>
      <vt:lpstr>Tìm kiếm sách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Keziro ‎</dc:creator>
  <cp:keywords/>
  <dc:description/>
  <cp:lastModifiedBy>Keziro ‎</cp:lastModifiedBy>
  <cp:revision/>
  <dcterms:created xsi:type="dcterms:W3CDTF">2023-06-09T03:35:14Z</dcterms:created>
  <dcterms:modified xsi:type="dcterms:W3CDTF">2024-02-19T14:11:03Z</dcterms:modified>
  <cp:category/>
  <cp:contentStatus/>
</cp:coreProperties>
</file>